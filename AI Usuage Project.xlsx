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07ca1a9f1f3c5782/Desktop/"/>
    </mc:Choice>
  </mc:AlternateContent>
  <xr:revisionPtr revIDLastSave="119" documentId="13_ncr:1_{5431CE7C-A775-4FD7-87F1-812AEF139057}" xr6:coauthVersionLast="47" xr6:coauthVersionMax="47" xr10:uidLastSave="{E9A98610-C620-413C-8ED9-2BB9A958A25B}"/>
  <bookViews>
    <workbookView xWindow="-108" yWindow="-108" windowWidth="23256" windowHeight="12456" firstSheet="1" activeTab="6" xr2:uid="{00000000-000D-0000-FFFF-FFFF00000000}"/>
  </bookViews>
  <sheets>
    <sheet name="rawdata" sheetId="3" r:id="rId1"/>
    <sheet name="rawresponses" sheetId="1" r:id="rId2"/>
    <sheet name="Problem Solving" sheetId="4" r:id="rId3"/>
    <sheet name="Critical Thinking" sheetId="5" r:id="rId4"/>
    <sheet name="Personal Use" sheetId="6" r:id="rId5"/>
    <sheet name="Statistical analysis" sheetId="7" r:id="rId6"/>
    <sheet name="Insights" sheetId="8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56" i="1" l="1"/>
  <c r="C56" i="1"/>
  <c r="D56" i="1"/>
  <c r="E56" i="1"/>
  <c r="F56" i="1"/>
  <c r="B57" i="1"/>
  <c r="C57" i="1"/>
  <c r="D57" i="1"/>
  <c r="E57" i="1"/>
  <c r="F57" i="1"/>
  <c r="B58" i="1"/>
  <c r="C58" i="1"/>
  <c r="D58" i="1"/>
  <c r="E58" i="1"/>
  <c r="F58" i="1"/>
  <c r="B59" i="1"/>
  <c r="C59" i="1"/>
  <c r="D59" i="1"/>
  <c r="E59" i="1"/>
  <c r="F59" i="1"/>
  <c r="B62" i="1"/>
  <c r="C62" i="1"/>
  <c r="D62" i="1"/>
  <c r="E62" i="1"/>
  <c r="F62" i="1"/>
  <c r="B63" i="1"/>
  <c r="C63" i="1"/>
  <c r="D63" i="1"/>
  <c r="E63" i="1"/>
  <c r="F63" i="1"/>
  <c r="B64" i="1"/>
  <c r="C64" i="1"/>
  <c r="D64" i="1"/>
  <c r="E64" i="1"/>
  <c r="F64" i="1"/>
  <c r="B65" i="1"/>
  <c r="C65" i="1"/>
  <c r="D65" i="1"/>
  <c r="E65" i="1"/>
  <c r="F65" i="1"/>
  <c r="F11" i="7"/>
  <c r="E11" i="7"/>
  <c r="D11" i="7"/>
  <c r="C11" i="7"/>
  <c r="B11" i="7"/>
  <c r="F10" i="7"/>
  <c r="E10" i="7"/>
  <c r="D10" i="7"/>
  <c r="C10" i="7"/>
  <c r="B10" i="7"/>
  <c r="F9" i="7"/>
  <c r="E9" i="7"/>
  <c r="D9" i="7"/>
  <c r="C9" i="7"/>
  <c r="B9" i="7"/>
  <c r="F8" i="7"/>
  <c r="E8" i="7"/>
  <c r="D8" i="7"/>
  <c r="C8" i="7"/>
  <c r="B8" i="7"/>
  <c r="F5" i="7"/>
  <c r="E5" i="7"/>
  <c r="D5" i="7"/>
  <c r="C5" i="7"/>
  <c r="B5" i="7"/>
  <c r="F4" i="7"/>
  <c r="E4" i="7"/>
  <c r="D4" i="7"/>
  <c r="C4" i="7"/>
  <c r="B4" i="7"/>
  <c r="F3" i="7"/>
  <c r="E3" i="7"/>
  <c r="D3" i="7"/>
  <c r="C3" i="7"/>
  <c r="B3" i="7"/>
  <c r="F2" i="7"/>
  <c r="E2" i="7"/>
  <c r="D2" i="7"/>
  <c r="C2" i="7"/>
  <c r="B2" i="7"/>
  <c r="E2" i="1"/>
  <c r="E3" i="1"/>
  <c r="E4" i="1"/>
  <c r="E5" i="1"/>
  <c r="E6" i="1"/>
  <c r="E2" i="3"/>
  <c r="J2" i="3"/>
  <c r="O2" i="3"/>
  <c r="T2" i="3"/>
  <c r="E3" i="3"/>
  <c r="J3" i="3"/>
  <c r="O3" i="3"/>
  <c r="T3" i="3"/>
  <c r="E4" i="3"/>
  <c r="J4" i="3"/>
  <c r="O4" i="3"/>
  <c r="T4" i="3"/>
  <c r="E5" i="3"/>
  <c r="J5" i="3"/>
  <c r="O5" i="3"/>
  <c r="T5" i="3"/>
  <c r="E6" i="3"/>
  <c r="J6" i="3"/>
  <c r="O6" i="3"/>
  <c r="T6" i="3"/>
  <c r="E7" i="3"/>
  <c r="J7" i="3"/>
  <c r="O7" i="3"/>
  <c r="T7" i="3"/>
  <c r="E8" i="3"/>
  <c r="J8" i="3"/>
  <c r="O8" i="3"/>
  <c r="T8" i="3"/>
  <c r="E9" i="3"/>
  <c r="J9" i="3"/>
  <c r="O9" i="3"/>
  <c r="T9" i="3"/>
  <c r="E10" i="3"/>
  <c r="J10" i="3"/>
  <c r="O10" i="3"/>
  <c r="T10" i="3"/>
  <c r="E11" i="3"/>
  <c r="J11" i="3"/>
  <c r="O11" i="3"/>
  <c r="T11" i="3"/>
  <c r="E12" i="3"/>
  <c r="J12" i="3"/>
  <c r="O12" i="3"/>
  <c r="T12" i="3"/>
  <c r="E13" i="3"/>
  <c r="J13" i="3"/>
  <c r="O13" i="3"/>
  <c r="T13" i="3"/>
  <c r="E14" i="3"/>
  <c r="J14" i="3"/>
  <c r="O14" i="3"/>
  <c r="T14" i="3"/>
  <c r="E15" i="3"/>
  <c r="J15" i="3"/>
  <c r="O15" i="3"/>
  <c r="T15" i="3"/>
  <c r="E16" i="3"/>
  <c r="J16" i="3"/>
  <c r="O16" i="3"/>
  <c r="T16" i="3"/>
  <c r="E17" i="3"/>
  <c r="J17" i="3"/>
  <c r="O17" i="3"/>
  <c r="T17" i="3"/>
  <c r="E18" i="3"/>
  <c r="J18" i="3"/>
  <c r="O18" i="3"/>
  <c r="T18" i="3"/>
  <c r="E19" i="3"/>
  <c r="J19" i="3"/>
  <c r="O19" i="3"/>
  <c r="T19" i="3"/>
  <c r="E20" i="3"/>
  <c r="J20" i="3"/>
  <c r="O20" i="3"/>
  <c r="T20" i="3"/>
  <c r="E21" i="3"/>
  <c r="J21" i="3"/>
  <c r="O21" i="3"/>
  <c r="T21" i="3"/>
  <c r="E22" i="3"/>
  <c r="J22" i="3"/>
  <c r="O22" i="3"/>
  <c r="T22" i="3"/>
  <c r="E23" i="3"/>
  <c r="J23" i="3"/>
  <c r="O23" i="3"/>
  <c r="T23" i="3"/>
  <c r="E24" i="3"/>
  <c r="J24" i="3"/>
  <c r="O24" i="3"/>
  <c r="T24" i="3"/>
  <c r="E25" i="3"/>
  <c r="J25" i="3"/>
  <c r="O25" i="3"/>
  <c r="T25" i="3"/>
  <c r="E26" i="3"/>
  <c r="J26" i="3"/>
  <c r="O26" i="3"/>
  <c r="T26" i="3"/>
  <c r="E27" i="3"/>
  <c r="J27" i="3"/>
  <c r="O27" i="3"/>
  <c r="T27" i="3"/>
  <c r="E28" i="3"/>
  <c r="J28" i="3"/>
  <c r="O28" i="3"/>
  <c r="T28" i="3"/>
  <c r="E29" i="3"/>
  <c r="J29" i="3"/>
  <c r="O29" i="3"/>
  <c r="T29" i="3"/>
  <c r="E30" i="3"/>
  <c r="J30" i="3"/>
  <c r="O30" i="3"/>
  <c r="T30" i="3"/>
  <c r="E31" i="3"/>
  <c r="J31" i="3"/>
  <c r="O31" i="3"/>
  <c r="T31" i="3"/>
  <c r="E32" i="3"/>
  <c r="J32" i="3"/>
  <c r="O32" i="3"/>
  <c r="T32" i="3"/>
  <c r="E33" i="3"/>
  <c r="J33" i="3"/>
  <c r="O33" i="3"/>
  <c r="T33" i="3"/>
  <c r="E34" i="3"/>
  <c r="J34" i="3"/>
  <c r="O34" i="3"/>
  <c r="T34" i="3"/>
  <c r="E35" i="3"/>
  <c r="J35" i="3"/>
  <c r="O35" i="3"/>
  <c r="T35" i="3"/>
  <c r="E36" i="3"/>
  <c r="J36" i="3"/>
  <c r="O36" i="3"/>
  <c r="T36" i="3"/>
  <c r="E37" i="3"/>
  <c r="J37" i="3"/>
  <c r="O37" i="3"/>
  <c r="T37" i="3"/>
  <c r="E38" i="3"/>
  <c r="J38" i="3"/>
  <c r="O38" i="3"/>
  <c r="T38" i="3"/>
  <c r="E39" i="3"/>
  <c r="J39" i="3"/>
  <c r="O39" i="3"/>
  <c r="T39" i="3"/>
  <c r="E40" i="3"/>
  <c r="J40" i="3"/>
  <c r="O40" i="3"/>
  <c r="T40" i="3"/>
  <c r="E41" i="3"/>
  <c r="J41" i="3"/>
  <c r="O41" i="3"/>
  <c r="T41" i="3"/>
  <c r="E42" i="3"/>
  <c r="J42" i="3"/>
  <c r="O42" i="3"/>
  <c r="T42" i="3"/>
  <c r="E43" i="3"/>
  <c r="J43" i="3"/>
  <c r="O43" i="3"/>
  <c r="T43" i="3"/>
  <c r="E44" i="3"/>
  <c r="J44" i="3"/>
  <c r="O44" i="3"/>
  <c r="T44" i="3"/>
  <c r="E45" i="3"/>
  <c r="J45" i="3"/>
  <c r="O45" i="3"/>
  <c r="T45" i="3"/>
  <c r="E46" i="3"/>
  <c r="J46" i="3"/>
  <c r="O46" i="3"/>
  <c r="T46" i="3"/>
  <c r="E47" i="3"/>
  <c r="J47" i="3"/>
  <c r="O47" i="3"/>
  <c r="T47" i="3"/>
  <c r="E48" i="3"/>
  <c r="J48" i="3"/>
  <c r="O48" i="3"/>
  <c r="T48" i="3"/>
  <c r="E49" i="3"/>
  <c r="J49" i="3"/>
  <c r="O49" i="3"/>
  <c r="T49" i="3"/>
  <c r="E50" i="3"/>
  <c r="J50" i="3"/>
  <c r="O50" i="3"/>
  <c r="T50" i="3"/>
  <c r="E51" i="3"/>
  <c r="J51" i="3"/>
  <c r="O51" i="3"/>
  <c r="T51" i="3"/>
  <c r="E52" i="3"/>
  <c r="J52" i="3"/>
  <c r="O52" i="3"/>
  <c r="T52" i="3"/>
  <c r="T2" i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O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J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F59" i="3" l="1"/>
  <c r="F58" i="3"/>
  <c r="F57" i="3"/>
  <c r="F56" i="3"/>
</calcChain>
</file>

<file path=xl/sharedStrings.xml><?xml version="1.0" encoding="utf-8"?>
<sst xmlns="http://schemas.openxmlformats.org/spreadsheetml/2006/main" count="218" uniqueCount="126">
  <si>
    <t>AI Usage [I regularly use AI tools for academic purposes]</t>
  </si>
  <si>
    <t>AI Usage [I rely on AI to complete assignments]</t>
  </si>
  <si>
    <t>AI Usage [AI helps me understand difficult concepts]</t>
  </si>
  <si>
    <t>AI Usage [I feel dependent on AI tools]</t>
  </si>
  <si>
    <t>Average of Ai Usage</t>
  </si>
  <si>
    <t xml:space="preserve">Problem Solving Skills [I am able to solve problems without using AI]  </t>
  </si>
  <si>
    <t>Problem Solving Skills [AI helps me solve problems more efficiently]</t>
  </si>
  <si>
    <t>Problem Solving Skills [I try to understand solutions instead of just copying from AI]</t>
  </si>
  <si>
    <t xml:space="preserve">Problem Solving Skills [I feel less confident solving problems without AI] </t>
  </si>
  <si>
    <t>Average of Problem solving skills</t>
  </si>
  <si>
    <t xml:space="preserve">Critical Thinking [I verify the accuracy of AI-generated responses] </t>
  </si>
  <si>
    <t>Critical Thinking [I think independently before using AI tools]</t>
  </si>
  <si>
    <t>Critical Thinking [I carefully evaluate information before accepting it]</t>
  </si>
  <si>
    <t xml:space="preserve">Critical Thinking [AI reduces my ability to think critically] </t>
  </si>
  <si>
    <t>Average of Critical Thinking</t>
  </si>
  <si>
    <t>Personal Use [I use AI tools for personal purposes beyond academics]</t>
  </si>
  <si>
    <t>Personal Use [I use AI for creative or social media-related activities]</t>
  </si>
  <si>
    <t>Personal Use [I use AI to seek guidance for personal or future-related decisions]</t>
  </si>
  <si>
    <t>Personal Use [I use AI to explore new ideas or topics out of curiosity]</t>
  </si>
  <si>
    <t>Average of Personal Use</t>
  </si>
  <si>
    <t>How do you think AI affects your thinking and learning process?</t>
  </si>
  <si>
    <t xml:space="preserve">I think overuse of Ai causes a decline in intellect and critical thinking. </t>
  </si>
  <si>
    <t xml:space="preserve">It makes easy to learn things yet it makes my brain less creative </t>
  </si>
  <si>
    <t>I’d say AI affects my thinking and learning by making it easier to access information quickly, helping me understand complex topics faster, and giving me new perspectives I might not have considered on my own. At the same time, I have to stay mindful about checking accuracy and not relying on it blindly.</t>
  </si>
  <si>
    <t xml:space="preserve">It enhances the understanding </t>
  </si>
  <si>
    <t>Yes it affects the Critical thinking as we are now dependent on it which hampers our critical thinking. We totally rely on it nowadays</t>
  </si>
  <si>
    <t>..</t>
  </si>
  <si>
    <t>AI affects my thinking process too much that before I started typing this my first thought was to ask AI about it.</t>
  </si>
  <si>
    <t>_</t>
  </si>
  <si>
    <t>AI improves my learning by providing quick information, clear explanations, and personalized support, helping me understand concepts faster.
However, excessive dependence on AI can reduce independent thinking and problem-solving skills if not used carefully.</t>
  </si>
  <si>
    <t>Not very much</t>
  </si>
  <si>
    <t xml:space="preserve">Work is done faster and efficiently but reduces critical thinking and creativity </t>
  </si>
  <si>
    <t xml:space="preserve">It's good , everyone will use. Helps everyone.great technology, </t>
  </si>
  <si>
    <t xml:space="preserve">Its slow </t>
  </si>
  <si>
    <t>AI enhances my thinking and learning by providing instant information, diverse perspectives, and adaptive explanations, but it may reduce deep critical analysis if over relied upon without independent reflection consistently.</t>
  </si>
  <si>
    <t xml:space="preserve">It’s affects my critical thinking </t>
  </si>
  <si>
    <t>AI makes learning quicker and easier, especially when I’m stuck. But sometimes it makes me rely on it too much instead of thinking on my own. So it helps, but I try not to depend on it completely.</t>
  </si>
  <si>
    <t>.</t>
  </si>
  <si>
    <t>-</t>
  </si>
  <si>
    <t>It helps gain knowledge</t>
  </si>
  <si>
    <t>It has significantly transformed the way I think and learn. I now rely more on AI tools for understanding concepts, exploring ideas, and solving problems, rather than depending solely on traditional learning resources like textbooks or lectures.</t>
  </si>
  <si>
    <t xml:space="preserve">It helps me gain new knowledge about things I am less knowledgeable about, and it supports me in my thinking and learning process </t>
  </si>
  <si>
    <t>Enhances efficiency in learning but may reduce independent critical thinking if overused</t>
  </si>
  <si>
    <t xml:space="preserve">It affects in a bad way. </t>
  </si>
  <si>
    <t>AI can break down tough topics into simple language, summaries, or examples. This saves time and helps you grasp concepts quicker.</t>
  </si>
  <si>
    <t xml:space="preserve">It has made my own thinking process a bit slower </t>
  </si>
  <si>
    <t xml:space="preserve">Make us dependent </t>
  </si>
  <si>
    <t xml:space="preserve">That idk bro </t>
  </si>
  <si>
    <t>It ruins our thinking capacity.</t>
  </si>
  <si>
    <t>Yes</t>
  </si>
  <si>
    <t xml:space="preserve">It's helps us to understand few things which so don't know </t>
  </si>
  <si>
    <t xml:space="preserve">It definitely hinders your progress and ability to do work and think independently if used very frequently </t>
  </si>
  <si>
    <t>It reduces my thinking capabilities.</t>
  </si>
  <si>
    <t xml:space="preserve">I don't let it, I'm boycotting AI because it's bad for the environment as well as for human cognition </t>
  </si>
  <si>
    <t>It does not affect</t>
  </si>
  <si>
    <t>It is not affecting</t>
  </si>
  <si>
    <t xml:space="preserve">AI is very helpful but it decreases are ability of critical thinking </t>
  </si>
  <si>
    <t xml:space="preserve">Positively affect  </t>
  </si>
  <si>
    <t>It just provide a basic road map for any solution so I just use the roadmap and try to improve it with my own ideas accordingly.</t>
  </si>
  <si>
    <t xml:space="preserve">It helps learning faster and easier but it  reduces my independent thinking </t>
  </si>
  <si>
    <t xml:space="preserve">Very much </t>
  </si>
  <si>
    <t>N/a</t>
  </si>
  <si>
    <t xml:space="preserve">Ai can be used in a right way if the intentions are clear but it can reduce the thinking process of people. People blindly follow it, copy paste and done. Slowly, we all are developing a calmness in mind towards AI like if AI has given the answer of question, we rely on it without checking. This can be a sweet desert or a slow poison. </t>
  </si>
  <si>
    <t>AI easily simplifies the academic topics which makes the learning process much more structured. Moreover, with AI I get to explore different analytical sides which otherwise would have remained untouched.</t>
  </si>
  <si>
    <t>AI enhances learning by making information faster and easier to understand, helping you grasp concepts efficiently. However, over-reliance can reduce critical thinking if you stop analyzing and questioning on your own. The key is to use AI as a support tool, not a replacement for thinking.</t>
  </si>
  <si>
    <t>Slows down the learning process...as everything is spoon fed</t>
  </si>
  <si>
    <t xml:space="preserve">It slows down our power of critical thinking by a great amount </t>
  </si>
  <si>
    <t>AI makes the learning process easier for me by molding the information according to my needs so i process it faster but it has slowed my thinking ability.</t>
  </si>
  <si>
    <t>AI strongly influences one’s thinking as people today generally believe whatever AI tell them, infact a lot more than real people. AI also influences learning processes as whatever we search or read from AI we tend to follow that a lot, be it for a smaller purpose like studying or even a medical problem.</t>
  </si>
  <si>
    <t>Average</t>
  </si>
  <si>
    <t xml:space="preserve">median </t>
  </si>
  <si>
    <t>mode</t>
  </si>
  <si>
    <t xml:space="preserve">standard deviation </t>
  </si>
  <si>
    <t>variance</t>
  </si>
  <si>
    <t>AI usage</t>
  </si>
  <si>
    <t>Problem solving</t>
  </si>
  <si>
    <t>Critical thinking</t>
  </si>
  <si>
    <t>Personal use</t>
  </si>
  <si>
    <t>Strongly agree</t>
  </si>
  <si>
    <t>Agree</t>
  </si>
  <si>
    <t>Neutral</t>
  </si>
  <si>
    <t>Disagree</t>
  </si>
  <si>
    <t>Strongly disagree</t>
  </si>
  <si>
    <t>Frequency(AI Usage)</t>
  </si>
  <si>
    <t>Frequency(Problem Solving)</t>
  </si>
  <si>
    <t>AI usage with problem solving</t>
  </si>
  <si>
    <t>AI usage with critical thinking</t>
  </si>
  <si>
    <t>AI usage with personal use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</si>
  <si>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</si>
  <si>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</si>
  <si>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</si>
  <si>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</si>
  <si>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</si>
  <si>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</si>
  <si>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</si>
  <si>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</si>
  <si>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</si>
  <si>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</si>
  <si>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</si>
  <si>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</si>
  <si>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</si>
  <si>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</si>
  <si>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</si>
  <si>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</si>
  <si>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</si>
  <si>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</si>
  <si>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</si>
  <si>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</si>
  <si>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</si>
  <si>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</si>
  <si>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</si>
  <si>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</si>
  <si>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Correlation Analysis</t>
  </si>
  <si>
    <t xml:space="preserve">Median </t>
  </si>
  <si>
    <t>Mode</t>
  </si>
  <si>
    <t xml:space="preserve">Standard Deviation </t>
  </si>
  <si>
    <t>Variance</t>
  </si>
  <si>
    <t>GRAPHICAL REPRESENTATION OF DATA</t>
  </si>
  <si>
    <t>1. AI is widely used among undergraduate students, with most respondents reporting frequent use in their daily academic and personal activities. �</t>
  </si>
  <si>
    <t>2. AI has the strongest impact on personal use, showing a moderate positive correlation (r ≈ 0.51) and a statistically significant effect. �</t>
  </si>
  <si>
    <t>3. AI shows only a weak positive relationship with problem-solving skills (r ≈ 0.18), indicating limited influence. �</t>
  </si>
  <si>
    <t>4. AI has a slight negative relationship with critical thinking (r ≈ -0.11), suggesting that increased reliance on AI may reduce independent thinking. �</t>
  </si>
  <si>
    <t>5. Hypothesis testing showed no statistically significant impact of AI on either critical thinking or problem-solving, while its impact on personal use was significant. �</t>
  </si>
  <si>
    <t>6. Descriptive statistics indicated that students generally agreed they use AI frequently, especially for convenience and efficiency, with responses showing relatively low variation across participants. �</t>
  </si>
  <si>
    <t>7. Overall, the findings suggest that undergraduate students primarily use AI as a convenience tool rather than as a means of developing higher-order cognitive skills such as critical thinking and problem-solving.</t>
  </si>
  <si>
    <t>AI Usage Analysis: Key Insights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</si>
</sst>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1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theme="5" tint="-0.499984740745262"/>
      <name val="Arial"/>
      <scheme val="minor"/>
    </font>
    <font>
      <i/>
      <sz val="10"/>
      <color rgb="FF000000"/>
      <name val="Arial"/>
      <family val="2"/>
      <scheme val="minor"/>
    </font>
    <font>
      <b/>
      <sz val="10"/>
      <color theme="5" tint="-0.499984740745262"/>
      <name val="Arial"/>
      <family val="2"/>
      <scheme val="minor"/>
    </font>
    <font>
      <sz val="10"/>
      <color theme="5" tint="-0.499984740745262"/>
      <name val="Arial"/>
      <family val="2"/>
      <scheme val="minor"/>
    </font>
    <font>
      <sz val="24"/>
      <color theme="5" tint="-0.499984740745262"/>
      <name val="Arial"/>
      <family val="2"/>
      <scheme val="minor"/>
    </font>
    <font>
      <b/>
      <sz val="24"/>
      <color theme="5" tint="-0.499984740745262"/>
      <name val="Arial"/>
      <family val="2"/>
      <scheme val="minor"/>
    </font>
    <font>
      <sz val="14"/>
      <color rgb="FF000000"/>
      <name val="Arial"/>
      <family val="2"/>
      <scheme val="minor"/>
    </font>
    <font>
      <sz val="20"/>
      <color rgb="FF000000"/>
      <name val="Arial"/>
      <family val="2"/>
      <scheme val="minor"/>
    </font>
    <font>
      <b/>
      <u/>
      <sz val="20"/>
      <color theme="4" tint="-0.499984740745262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 wrapText="1"/>
    </xf>
    <xf numFmtId="0" fontId="2" fillId="0" borderId="0" xfId="0" applyFont="1" applyAlignment="1">
      <alignment horizontal="center"/>
    </xf>
    <xf numFmtId="0" fontId="0" fillId="0" borderId="2" xfId="0" applyBorder="1"/>
    <xf numFmtId="0" fontId="3" fillId="0" borderId="3" xfId="0" applyFont="1" applyBorder="1" applyAlignment="1">
      <alignment horizontal="center"/>
    </xf>
    <xf numFmtId="0" fontId="3" fillId="0" borderId="3" xfId="0" applyFont="1" applyBorder="1" applyAlignment="1">
      <alignment horizontal="centerContinuous"/>
    </xf>
    <xf numFmtId="0" fontId="4" fillId="0" borderId="1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0" fillId="0" borderId="4" xfId="0" applyBorder="1" applyAlignment="1">
      <alignment horizontal="center" wrapText="1"/>
    </xf>
    <xf numFmtId="0" fontId="0" fillId="0" borderId="4" xfId="0" applyBorder="1"/>
    <xf numFmtId="0" fontId="4" fillId="0" borderId="4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7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8" fillId="0" borderId="0" xfId="0" applyFont="1"/>
    <xf numFmtId="0" fontId="9" fillId="0" borderId="0" xfId="0" applyFont="1" applyAlignment="1">
      <alignment horizontal="left"/>
    </xf>
    <xf numFmtId="0" fontId="10" fillId="0" borderId="0" xfId="0" applyFont="1" applyAlignment="1">
      <alignment horizontal="center"/>
    </xf>
  </cellXfs>
  <cellStyles count="1">
    <cellStyle name="Normal" xfId="0" builtinId="0"/>
  </cellStyles>
  <dxfs count="5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0" formatCode="General"/>
      <alignment horizontal="center" vertical="center" textRotation="0" wrapText="0" indent="0" justifyLastLine="0" shrinkToFit="0" readingOrder="0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0" formatCode="General"/>
      <alignment horizontal="center" vertical="center" textRotation="0" wrapText="0" indent="0" justifyLastLine="0" shrinkToFit="0" readingOrder="0"/>
    </dxf>
    <dxf>
      <alignment horizontal="center"/>
    </dxf>
    <dxf>
      <alignment horizontal="center"/>
    </dxf>
    <dxf>
      <alignment horizont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0" formatCode="General"/>
      <alignment horizontal="center" vertical="center" textRotation="0" wrapText="0" indent="0" justifyLastLine="0" shrinkToFit="0" readingOrder="0"/>
    </dxf>
    <dxf>
      <alignment horizontal="center"/>
    </dxf>
    <dxf>
      <alignment horizontal="center"/>
    </dxf>
    <dxf>
      <alignment horizont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0" formatCode="General"/>
      <alignment horizontal="center" vertical="center" textRotation="0" wrapText="0" indent="0" justifyLastLine="0" shrinkToFit="0" readingOrder="0"/>
    </dxf>
    <dxf>
      <alignment horizontal="center"/>
    </dxf>
    <dxf>
      <alignment horizontal="center"/>
    </dxf>
    <dxf>
      <alignment horizontal="center"/>
    </dxf>
    <dxf>
      <font>
        <b val="0"/>
      </font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0" formatCode="General"/>
      <alignment horizontal="center" vertical="center" textRotation="0" wrapText="0" indent="0" justifyLastLine="0" shrinkToFit="0" readingOrder="0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0" formatCode="General"/>
      <alignment horizontal="center" vertical="center" textRotation="0" wrapText="0" indent="0" justifyLastLine="0" shrinkToFit="0" readingOrder="0"/>
    </dxf>
    <dxf>
      <alignment horizontal="center"/>
    </dxf>
    <dxf>
      <alignment horizontal="center"/>
    </dxf>
    <dxf>
      <alignment horizont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0" formatCode="General"/>
      <alignment horizontal="center" vertical="center" textRotation="0" wrapText="0" indent="0" justifyLastLine="0" shrinkToFit="0" readingOrder="0"/>
    </dxf>
    <dxf>
      <alignment horizontal="center"/>
    </dxf>
    <dxf>
      <alignment horizontal="center"/>
    </dxf>
    <dxf>
      <alignment horizont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0" formatCode="General"/>
      <alignment horizontal="center" vertical="center" textRotation="0" wrapText="0" indent="0" justifyLastLine="0" shrinkToFit="0" readingOrder="0"/>
    </dxf>
    <dxf>
      <alignment horizontal="center"/>
    </dxf>
    <dxf>
      <alignment horizontal="center"/>
    </dxf>
    <dxf>
      <alignment horizontal="center"/>
    </dxf>
    <dxf>
      <font>
        <b val="0"/>
      </font>
      <alignment horizontal="center"/>
    </dxf>
    <dxf>
      <alignment horizontal="center"/>
    </dxf>
    <dxf>
      <alignment horizontal="center"/>
    </dxf>
    <dxf>
      <alignment horizontal="center"/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name="Form Responses 1-style" pivot="0" count="4" xr9:uid="{00000000-0011-0000-FFFF-FFFF00000000}">
      <tableStyleElement type="wholeTable" size="0" dxfId="50"/>
      <tableStyleElement type="headerRow" dxfId="49"/>
      <tableStyleElement type="firstRowStripe" dxfId="48"/>
      <tableStyleElement type="secondRowStripe" dxfId="47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6199132324056387E-2"/>
          <c:y val="0.27804700579549563"/>
          <c:w val="0.8996336892862804"/>
          <c:h val="0.5886881605725808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rawresponses!$A$65</c:f>
              <c:strCache>
                <c:ptCount val="1"/>
                <c:pt idx="0">
                  <c:v>Personal use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rawresponses!$B$65:$F$65</c:f>
              <c:numCache>
                <c:formatCode>General</c:formatCode>
                <c:ptCount val="5"/>
                <c:pt idx="0">
                  <c:v>12</c:v>
                </c:pt>
                <c:pt idx="1">
                  <c:v>16</c:v>
                </c:pt>
                <c:pt idx="2">
                  <c:v>10</c:v>
                </c:pt>
                <c:pt idx="3">
                  <c:v>11</c:v>
                </c:pt>
                <c:pt idx="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201-446B-AD86-A183AE576C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7580807"/>
        <c:axId val="212215303"/>
      </c:barChart>
      <c:catAx>
        <c:axId val="7758080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215303"/>
        <c:crosses val="autoZero"/>
        <c:auto val="1"/>
        <c:lblAlgn val="ctr"/>
        <c:lblOffset val="100"/>
        <c:noMultiLvlLbl val="0"/>
      </c:catAx>
      <c:valAx>
        <c:axId val="2122153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5808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Frequency AI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6549274394316599E-2"/>
          <c:y val="0.189943327815811"/>
          <c:w val="0.90326352389877762"/>
          <c:h val="0.5902675259273831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rawresponses!$B$62:$F$62</c:f>
              <c:numCache>
                <c:formatCode>General</c:formatCode>
                <c:ptCount val="5"/>
                <c:pt idx="0">
                  <c:v>22</c:v>
                </c:pt>
                <c:pt idx="1">
                  <c:v>22</c:v>
                </c:pt>
                <c:pt idx="2">
                  <c:v>4</c:v>
                </c:pt>
                <c:pt idx="3">
                  <c:v>2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DDB-4CBC-8A26-2010D47D36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41715463"/>
        <c:axId val="2142815239"/>
      </c:barChart>
      <c:catAx>
        <c:axId val="214171546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2815239"/>
        <c:crosses val="autoZero"/>
        <c:auto val="1"/>
        <c:lblAlgn val="ctr"/>
        <c:lblOffset val="100"/>
        <c:noMultiLvlLbl val="0"/>
      </c:catAx>
      <c:valAx>
        <c:axId val="21428152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17154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45889502767919094"/>
          <c:y val="0.86967664537088596"/>
          <c:w val="0.13241920073798308"/>
          <c:h val="7.994750656167978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Problem solving</a:t>
            </a:r>
          </a:p>
        </c:rich>
      </c:tx>
      <c:layout>
        <c:manualLayout>
          <c:xMode val="edge"/>
          <c:yMode val="edge"/>
          <c:x val="0.4675138134359792"/>
          <c:y val="2.962960137261284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rawresponses!$B$63:$F$63</c:f>
              <c:numCache>
                <c:formatCode>General</c:formatCode>
                <c:ptCount val="5"/>
                <c:pt idx="0">
                  <c:v>5</c:v>
                </c:pt>
                <c:pt idx="1">
                  <c:v>22</c:v>
                </c:pt>
                <c:pt idx="2">
                  <c:v>16</c:v>
                </c:pt>
                <c:pt idx="3">
                  <c:v>8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0C5-49BC-B98D-0729AA70DB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41712391"/>
        <c:axId val="2141714439"/>
      </c:barChart>
      <c:catAx>
        <c:axId val="214171239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1714439"/>
        <c:crosses val="autoZero"/>
        <c:auto val="1"/>
        <c:lblAlgn val="ctr"/>
        <c:lblOffset val="100"/>
        <c:noMultiLvlLbl val="0"/>
      </c:catAx>
      <c:valAx>
        <c:axId val="21417144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17123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AI usage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rawresponses!$A$62</c:f>
              <c:strCache>
                <c:ptCount val="1"/>
                <c:pt idx="0">
                  <c:v>Frequency(AI Usage)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rawresponses!$B$61:$F$61</c:f>
              <c:strCache>
                <c:ptCount val="5"/>
                <c:pt idx="0">
                  <c:v>Strongly agree</c:v>
                </c:pt>
                <c:pt idx="1">
                  <c:v>Agree</c:v>
                </c:pt>
                <c:pt idx="2">
                  <c:v>Neutral</c:v>
                </c:pt>
                <c:pt idx="3">
                  <c:v>Disagree</c:v>
                </c:pt>
                <c:pt idx="4">
                  <c:v>Strongly disagree</c:v>
                </c:pt>
              </c:strCache>
            </c:strRef>
          </c:cat>
          <c:val>
            <c:numRef>
              <c:f>rawresponses!$B$62:$F$62</c:f>
              <c:numCache>
                <c:formatCode>General</c:formatCode>
                <c:ptCount val="5"/>
                <c:pt idx="0">
                  <c:v>22</c:v>
                </c:pt>
                <c:pt idx="1">
                  <c:v>22</c:v>
                </c:pt>
                <c:pt idx="2">
                  <c:v>4</c:v>
                </c:pt>
                <c:pt idx="3">
                  <c:v>2</c:v>
                </c:pt>
                <c:pt idx="4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478-41CF-8AE2-8173A3793829}"/>
            </c:ext>
          </c:extLst>
        </c:ser>
        <c:ser>
          <c:idx val="1"/>
          <c:order val="1"/>
          <c:tx>
            <c:strRef>
              <c:f>rawresponses!$A$63</c:f>
              <c:strCache>
                <c:ptCount val="1"/>
                <c:pt idx="0">
                  <c:v>Frequency(Problem Solving)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rawresponses!$B$61:$F$61</c:f>
              <c:strCache>
                <c:ptCount val="5"/>
                <c:pt idx="0">
                  <c:v>Strongly agree</c:v>
                </c:pt>
                <c:pt idx="1">
                  <c:v>Agree</c:v>
                </c:pt>
                <c:pt idx="2">
                  <c:v>Neutral</c:v>
                </c:pt>
                <c:pt idx="3">
                  <c:v>Disagree</c:v>
                </c:pt>
                <c:pt idx="4">
                  <c:v>Strongly disagree</c:v>
                </c:pt>
              </c:strCache>
            </c:strRef>
          </c:cat>
          <c:val>
            <c:numRef>
              <c:f>rawresponses!$B$63:$F$63</c:f>
              <c:numCache>
                <c:formatCode>General</c:formatCode>
                <c:ptCount val="5"/>
                <c:pt idx="0">
                  <c:v>5</c:v>
                </c:pt>
                <c:pt idx="1">
                  <c:v>22</c:v>
                </c:pt>
                <c:pt idx="2">
                  <c:v>16</c:v>
                </c:pt>
                <c:pt idx="3">
                  <c:v>8</c:v>
                </c:pt>
                <c:pt idx="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478-41CF-8AE2-8173A3793829}"/>
            </c:ext>
          </c:extLst>
        </c:ser>
        <c:ser>
          <c:idx val="2"/>
          <c:order val="2"/>
          <c:tx>
            <c:strRef>
              <c:f>rawresponses!$A$64</c:f>
              <c:strCache>
                <c:ptCount val="1"/>
                <c:pt idx="0">
                  <c:v>Critical thinking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rawresponses!$B$61:$F$61</c:f>
              <c:strCache>
                <c:ptCount val="5"/>
                <c:pt idx="0">
                  <c:v>Strongly agree</c:v>
                </c:pt>
                <c:pt idx="1">
                  <c:v>Agree</c:v>
                </c:pt>
                <c:pt idx="2">
                  <c:v>Neutral</c:v>
                </c:pt>
                <c:pt idx="3">
                  <c:v>Disagree</c:v>
                </c:pt>
                <c:pt idx="4">
                  <c:v>Strongly disagree</c:v>
                </c:pt>
              </c:strCache>
            </c:strRef>
          </c:cat>
          <c:val>
            <c:numRef>
              <c:f>rawresponses!$B$64:$F$64</c:f>
              <c:numCache>
                <c:formatCode>General</c:formatCode>
                <c:ptCount val="5"/>
                <c:pt idx="0">
                  <c:v>7</c:v>
                </c:pt>
                <c:pt idx="1">
                  <c:v>21</c:v>
                </c:pt>
                <c:pt idx="2">
                  <c:v>15</c:v>
                </c:pt>
                <c:pt idx="3">
                  <c:v>6</c:v>
                </c:pt>
                <c:pt idx="4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478-41CF-8AE2-8173A3793829}"/>
            </c:ext>
          </c:extLst>
        </c:ser>
        <c:ser>
          <c:idx val="3"/>
          <c:order val="3"/>
          <c:tx>
            <c:strRef>
              <c:f>rawresponses!$A$65</c:f>
              <c:strCache>
                <c:ptCount val="1"/>
                <c:pt idx="0">
                  <c:v>Personal use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rawresponses!$B$61:$F$61</c:f>
              <c:strCache>
                <c:ptCount val="5"/>
                <c:pt idx="0">
                  <c:v>Strongly agree</c:v>
                </c:pt>
                <c:pt idx="1">
                  <c:v>Agree</c:v>
                </c:pt>
                <c:pt idx="2">
                  <c:v>Neutral</c:v>
                </c:pt>
                <c:pt idx="3">
                  <c:v>Disagree</c:v>
                </c:pt>
                <c:pt idx="4">
                  <c:v>Strongly disagree</c:v>
                </c:pt>
              </c:strCache>
            </c:strRef>
          </c:cat>
          <c:val>
            <c:numRef>
              <c:f>rawresponses!$B$65:$F$65</c:f>
              <c:numCache>
                <c:formatCode>General</c:formatCode>
                <c:ptCount val="5"/>
                <c:pt idx="0">
                  <c:v>12</c:v>
                </c:pt>
                <c:pt idx="1">
                  <c:v>16</c:v>
                </c:pt>
                <c:pt idx="2">
                  <c:v>10</c:v>
                </c:pt>
                <c:pt idx="3">
                  <c:v>11</c:v>
                </c:pt>
                <c:pt idx="4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478-41CF-8AE2-8173A37938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06224648"/>
        <c:axId val="1910506504"/>
      </c:lineChart>
      <c:catAx>
        <c:axId val="19062246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0506504"/>
        <c:crosses val="autoZero"/>
        <c:auto val="1"/>
        <c:lblAlgn val="ctr"/>
        <c:lblOffset val="100"/>
        <c:noMultiLvlLbl val="0"/>
      </c:catAx>
      <c:valAx>
        <c:axId val="1910506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62246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AI usage responses dist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rawresponses!$A$62</c:f>
              <c:strCache>
                <c:ptCount val="1"/>
                <c:pt idx="0">
                  <c:v>Frequency(AI Usage)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F05-4A4F-A9E6-337357A4766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F05-4A4F-A9E6-337357A4766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4F05-4A4F-A9E6-337357A47666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4F05-4A4F-A9E6-337357A47666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4F05-4A4F-A9E6-337357A47666}"/>
              </c:ext>
            </c:extLst>
          </c:dPt>
          <c:cat>
            <c:strRef>
              <c:f>rawresponses!$B$61:$F$61</c:f>
              <c:strCache>
                <c:ptCount val="5"/>
                <c:pt idx="0">
                  <c:v>Strongly agree</c:v>
                </c:pt>
                <c:pt idx="1">
                  <c:v>Agree</c:v>
                </c:pt>
                <c:pt idx="2">
                  <c:v>Neutral</c:v>
                </c:pt>
                <c:pt idx="3">
                  <c:v>Disagree</c:v>
                </c:pt>
                <c:pt idx="4">
                  <c:v>Strongly disagree</c:v>
                </c:pt>
              </c:strCache>
            </c:strRef>
          </c:cat>
          <c:val>
            <c:numRef>
              <c:f>rawresponses!$B$62:$F$62</c:f>
              <c:numCache>
                <c:formatCode>General</c:formatCode>
                <c:ptCount val="5"/>
                <c:pt idx="0">
                  <c:v>22</c:v>
                </c:pt>
                <c:pt idx="1">
                  <c:v>22</c:v>
                </c:pt>
                <c:pt idx="2">
                  <c:v>4</c:v>
                </c:pt>
                <c:pt idx="3">
                  <c:v>2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4F05-4A4F-A9E6-337357A47666}"/>
            </c:ext>
          </c:extLst>
        </c:ser>
        <c:ser>
          <c:idx val="1"/>
          <c:order val="1"/>
          <c:tx>
            <c:strRef>
              <c:f>rawresponses!$A$63</c:f>
              <c:strCache>
                <c:ptCount val="1"/>
                <c:pt idx="0">
                  <c:v>Frequency(Problem Solving)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C-4F05-4A4F-A9E6-337357A4766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E-4F05-4A4F-A9E6-337357A4766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0-4F05-4A4F-A9E6-337357A47666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2-4F05-4A4F-A9E6-337357A47666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4-4F05-4A4F-A9E6-337357A47666}"/>
              </c:ext>
            </c:extLst>
          </c:dPt>
          <c:cat>
            <c:strRef>
              <c:f>rawresponses!$B$61:$F$61</c:f>
              <c:strCache>
                <c:ptCount val="5"/>
                <c:pt idx="0">
                  <c:v>Strongly agree</c:v>
                </c:pt>
                <c:pt idx="1">
                  <c:v>Agree</c:v>
                </c:pt>
                <c:pt idx="2">
                  <c:v>Neutral</c:v>
                </c:pt>
                <c:pt idx="3">
                  <c:v>Disagree</c:v>
                </c:pt>
                <c:pt idx="4">
                  <c:v>Strongly disagree</c:v>
                </c:pt>
              </c:strCache>
            </c:strRef>
          </c:cat>
          <c:val>
            <c:numRef>
              <c:f>rawresponses!$B$63:$F$63</c:f>
              <c:numCache>
                <c:formatCode>General</c:formatCode>
                <c:ptCount val="5"/>
                <c:pt idx="0">
                  <c:v>5</c:v>
                </c:pt>
                <c:pt idx="1">
                  <c:v>22</c:v>
                </c:pt>
                <c:pt idx="2">
                  <c:v>16</c:v>
                </c:pt>
                <c:pt idx="3">
                  <c:v>8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4F05-4A4F-A9E6-337357A47666}"/>
            </c:ext>
          </c:extLst>
        </c:ser>
        <c:ser>
          <c:idx val="2"/>
          <c:order val="2"/>
          <c:tx>
            <c:strRef>
              <c:f>rawresponses!$A$64</c:f>
              <c:strCache>
                <c:ptCount val="1"/>
                <c:pt idx="0">
                  <c:v>Critical thinking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4F05-4A4F-A9E6-337357A4766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4F05-4A4F-A9E6-337357A4766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4F05-4A4F-A9E6-337357A47666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4F05-4A4F-A9E6-337357A47666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F-4F05-4A4F-A9E6-337357A47666}"/>
              </c:ext>
            </c:extLst>
          </c:dPt>
          <c:cat>
            <c:strRef>
              <c:f>rawresponses!$B$61:$F$61</c:f>
              <c:strCache>
                <c:ptCount val="5"/>
                <c:pt idx="0">
                  <c:v>Strongly agree</c:v>
                </c:pt>
                <c:pt idx="1">
                  <c:v>Agree</c:v>
                </c:pt>
                <c:pt idx="2">
                  <c:v>Neutral</c:v>
                </c:pt>
                <c:pt idx="3">
                  <c:v>Disagree</c:v>
                </c:pt>
                <c:pt idx="4">
                  <c:v>Strongly disagree</c:v>
                </c:pt>
              </c:strCache>
            </c:strRef>
          </c:cat>
          <c:val>
            <c:numRef>
              <c:f>rawresponses!$B$64:$F$64</c:f>
              <c:numCache>
                <c:formatCode>General</c:formatCode>
                <c:ptCount val="5"/>
                <c:pt idx="0">
                  <c:v>7</c:v>
                </c:pt>
                <c:pt idx="1">
                  <c:v>21</c:v>
                </c:pt>
                <c:pt idx="2">
                  <c:v>15</c:v>
                </c:pt>
                <c:pt idx="3">
                  <c:v>6</c:v>
                </c:pt>
                <c:pt idx="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4F05-4A4F-A9E6-337357A47666}"/>
            </c:ext>
          </c:extLst>
        </c:ser>
        <c:ser>
          <c:idx val="3"/>
          <c:order val="3"/>
          <c:tx>
            <c:strRef>
              <c:f>rawresponses!$A$65</c:f>
              <c:strCache>
                <c:ptCount val="1"/>
                <c:pt idx="0">
                  <c:v>Personal use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2-4F05-4A4F-A9E6-337357A4766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4-4F05-4A4F-A9E6-337357A4766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6-4F05-4A4F-A9E6-337357A47666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8-4F05-4A4F-A9E6-337357A47666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A-4F05-4A4F-A9E6-337357A47666}"/>
              </c:ext>
            </c:extLst>
          </c:dPt>
          <c:cat>
            <c:strRef>
              <c:f>rawresponses!$B$61:$F$61</c:f>
              <c:strCache>
                <c:ptCount val="5"/>
                <c:pt idx="0">
                  <c:v>Strongly agree</c:v>
                </c:pt>
                <c:pt idx="1">
                  <c:v>Agree</c:v>
                </c:pt>
                <c:pt idx="2">
                  <c:v>Neutral</c:v>
                </c:pt>
                <c:pt idx="3">
                  <c:v>Disagree</c:v>
                </c:pt>
                <c:pt idx="4">
                  <c:v>Strongly disagree</c:v>
                </c:pt>
              </c:strCache>
            </c:strRef>
          </c:cat>
          <c:val>
            <c:numRef>
              <c:f>rawresponses!$B$65:$F$65</c:f>
              <c:numCache>
                <c:formatCode>General</c:formatCode>
                <c:ptCount val="5"/>
                <c:pt idx="0">
                  <c:v>12</c:v>
                </c:pt>
                <c:pt idx="1">
                  <c:v>16</c:v>
                </c:pt>
                <c:pt idx="2">
                  <c:v>10</c:v>
                </c:pt>
                <c:pt idx="3">
                  <c:v>11</c:v>
                </c:pt>
                <c:pt idx="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B-4F05-4A4F-A9E6-337357A476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853440</xdr:colOff>
      <xdr:row>22</xdr:row>
      <xdr:rowOff>91440</xdr:rowOff>
    </xdr:from>
    <xdr:to>
      <xdr:col>12</xdr:col>
      <xdr:colOff>520881</xdr:colOff>
      <xdr:row>37</xdr:row>
      <xdr:rowOff>47897</xdr:rowOff>
    </xdr:to>
    <xdr:graphicFrame macro="">
      <xdr:nvGraphicFramePr>
        <xdr:cNvPr id="2" name="Chart 8">
          <a:extLst>
            <a:ext uri="{FF2B5EF4-FFF2-40B4-BE49-F238E27FC236}">
              <a16:creationId xmlns:a16="http://schemas.microsoft.com/office/drawing/2014/main" id="{E5BA5352-8DDC-4096-8BE5-6715760100AC}"/>
            </a:ext>
            <a:ext uri="{147F2762-F138-4A5C-976F-8EAC2B608ADB}">
              <a16:predDERef xmlns:a16="http://schemas.microsoft.com/office/drawing/2014/main" pred="{B5664953-8E5E-F9BF-FC8A-15659C2B69C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350520</xdr:colOff>
      <xdr:row>22</xdr:row>
      <xdr:rowOff>53340</xdr:rowOff>
    </xdr:from>
    <xdr:to>
      <xdr:col>5</xdr:col>
      <xdr:colOff>208189</xdr:colOff>
      <xdr:row>37</xdr:row>
      <xdr:rowOff>19322</xdr:rowOff>
    </xdr:to>
    <xdr:graphicFrame macro="">
      <xdr:nvGraphicFramePr>
        <xdr:cNvPr id="3" name="Chart 20">
          <a:extLst>
            <a:ext uri="{FF2B5EF4-FFF2-40B4-BE49-F238E27FC236}">
              <a16:creationId xmlns:a16="http://schemas.microsoft.com/office/drawing/2014/main" id="{1B71205D-FD84-4D67-80BE-1031E744CFCC}"/>
            </a:ext>
            <a:ext uri="{147F2762-F138-4A5C-976F-8EAC2B608ADB}">
              <a16:predDERef xmlns:a16="http://schemas.microsoft.com/office/drawing/2014/main" pred="{DA20F93C-1DBA-2314-E732-4332ABF87D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350520</xdr:colOff>
      <xdr:row>22</xdr:row>
      <xdr:rowOff>30480</xdr:rowOff>
    </xdr:from>
    <xdr:to>
      <xdr:col>21</xdr:col>
      <xdr:colOff>120559</xdr:colOff>
      <xdr:row>38</xdr:row>
      <xdr:rowOff>34290</xdr:rowOff>
    </xdr:to>
    <xdr:graphicFrame macro="">
      <xdr:nvGraphicFramePr>
        <xdr:cNvPr id="4" name="Chart 39">
          <a:extLst>
            <a:ext uri="{FF2B5EF4-FFF2-40B4-BE49-F238E27FC236}">
              <a16:creationId xmlns:a16="http://schemas.microsoft.com/office/drawing/2014/main" id="{6A296376-A9B7-47A2-8E3A-1DF5037E86C3}"/>
            </a:ext>
            <a:ext uri="{147F2762-F138-4A5C-976F-8EAC2B608ADB}">
              <a16:predDERef xmlns:a16="http://schemas.microsoft.com/office/drawing/2014/main" pred="{D749BCFB-1C9C-210E-E227-FF898D5C045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601980</xdr:colOff>
      <xdr:row>38</xdr:row>
      <xdr:rowOff>137160</xdr:rowOff>
    </xdr:from>
    <xdr:to>
      <xdr:col>7</xdr:col>
      <xdr:colOff>51979</xdr:colOff>
      <xdr:row>54</xdr:row>
      <xdr:rowOff>143147</xdr:rowOff>
    </xdr:to>
    <xdr:graphicFrame macro="">
      <xdr:nvGraphicFramePr>
        <xdr:cNvPr id="5" name="Chart 69">
          <a:extLst>
            <a:ext uri="{FF2B5EF4-FFF2-40B4-BE49-F238E27FC236}">
              <a16:creationId xmlns:a16="http://schemas.microsoft.com/office/drawing/2014/main" id="{E779F0B0-7D1F-44A1-A973-A99BCB9178D1}"/>
            </a:ext>
            <a:ext uri="{147F2762-F138-4A5C-976F-8EAC2B608ADB}">
              <a16:predDERef xmlns:a16="http://schemas.microsoft.com/office/drawing/2014/main" pred="{30B661B9-8A76-91E3-FC36-50C99B53671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</xdr:col>
      <xdr:colOff>137160</xdr:colOff>
      <xdr:row>39</xdr:row>
      <xdr:rowOff>7620</xdr:rowOff>
    </xdr:from>
    <xdr:to>
      <xdr:col>16</xdr:col>
      <xdr:colOff>441960</xdr:colOff>
      <xdr:row>55</xdr:row>
      <xdr:rowOff>11430</xdr:rowOff>
    </xdr:to>
    <xdr:graphicFrame macro="">
      <xdr:nvGraphicFramePr>
        <xdr:cNvPr id="6" name="Chart 17">
          <a:extLst>
            <a:ext uri="{FF2B5EF4-FFF2-40B4-BE49-F238E27FC236}">
              <a16:creationId xmlns:a16="http://schemas.microsoft.com/office/drawing/2014/main" id="{A90F30A2-D601-421A-9264-6FD0D4F11F1F}"/>
            </a:ext>
            <a:ext uri="{147F2762-F138-4A5C-976F-8EAC2B608ADB}">
              <a16:predDERef xmlns:a16="http://schemas.microsoft.com/office/drawing/2014/main" pred="{A574DD9B-03FB-F9DD-8A2B-47A4CC626E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3F912FF-1D50-40C8-A554-63C7F719C4AA}" name="Form_Responses3" displayName="Form_Responses3" ref="A1:U52" headerRowDxfId="46" dataDxfId="45" totalsRowDxfId="44">
  <tableColumns count="21">
    <tableColumn id="5" xr3:uid="{4C257A97-701D-4313-8C10-D6BB240258A2}" name="AI Usage [I regularly use AI tools for academic purposes]" dataDxfId="43"/>
    <tableColumn id="6" xr3:uid="{2221773F-CE75-4332-92C6-8A435FB91285}" name="AI Usage [I rely on AI to complete assignments]" dataDxfId="42"/>
    <tableColumn id="7" xr3:uid="{9B3E9ACA-DBA4-4122-9541-FD013DC6EAD9}" name="AI Usage [AI helps me understand difficult concepts]" dataDxfId="41"/>
    <tableColumn id="8" xr3:uid="{141ECF92-69B4-4BCC-9FD6-48C3942458D5}" name="AI Usage [I feel dependent on AI tools]" dataDxfId="40"/>
    <tableColumn id="16" xr3:uid="{E6AB00ED-AAB5-420A-A0D0-FB89E65E6154}" name="Average of Ai Usage" dataDxfId="39">
      <calculatedColumnFormula>AVERAGE(Form_Responses3[[#This Row],[AI Usage '[I regularly use AI tools for academic purposes']]:[AI Usage '[I feel dependent on AI tools']]])</calculatedColumnFormula>
    </tableColumn>
    <tableColumn id="9" xr3:uid="{4052DE3D-B277-4C17-8912-CD3DCA54D4A0}" name="Problem Solving Skills [I am able to solve problems without using AI]  " dataDxfId="38"/>
    <tableColumn id="10" xr3:uid="{F4A463A0-4004-46B3-8C34-3C3DB34EAEA0}" name="Problem Solving Skills [AI helps me solve problems more efficiently]" dataDxfId="37"/>
    <tableColumn id="11" xr3:uid="{6188618A-8F74-4C67-9A01-94004DFB8E94}" name="Problem Solving Skills [I try to understand solutions instead of just copying from AI]" dataDxfId="36"/>
    <tableColumn id="2" xr3:uid="{B894841F-0676-4296-81E1-E0845680B365}" name="Problem Solving Skills [I feel less confident solving problems without AI] " dataDxfId="35"/>
    <tableColumn id="22" xr3:uid="{402BE57D-E067-4893-88B6-848CD511E557}" name="Average of Problem solving skills" dataDxfId="34">
      <calculatedColumnFormula>AVERAGE(Form_Responses3[[#This Row],[Problem Solving Skills '[I am able to solve problems without using AI']  ]:[Problem Solving Skills '[I feel less confident solving problems without AI'] ]])</calculatedColumnFormula>
    </tableColumn>
    <tableColumn id="13" xr3:uid="{BAA35757-DD43-476E-8BFB-D5F300877F53}" name="Critical Thinking [I verify the accuracy of AI-generated responses] " dataDxfId="33"/>
    <tableColumn id="14" xr3:uid="{002954B9-4BB8-4889-AC7B-E7493158108B}" name="Critical Thinking [I think independently before using AI tools]" dataDxfId="32"/>
    <tableColumn id="15" xr3:uid="{0B5E1C11-1926-4F2F-96E2-9CE82728313F}" name="Critical Thinking [I carefully evaluate information before accepting it]" dataDxfId="31"/>
    <tableColumn id="3" xr3:uid="{01E7FD7A-4BF2-4B0A-830D-863AD37AED8C}" name="Critical Thinking [AI reduces my ability to think critically] " dataDxfId="30"/>
    <tableColumn id="23" xr3:uid="{D89D9CAE-A1F0-4A4F-B440-9AF849A62B33}" name="Average of Critical Thinking" dataDxfId="29">
      <calculatedColumnFormula>AVERAGE(Form_Responses3[[#This Row],[Critical Thinking '[I verify the accuracy of AI-generated responses'] ]:[Critical Thinking '[AI reduces my ability to think critically'] ]])</calculatedColumnFormula>
    </tableColumn>
    <tableColumn id="17" xr3:uid="{9FA85282-E06B-48D6-AFB4-B46BD7E75C1B}" name="Personal Use [I use AI tools for personal purposes beyond academics]" dataDxfId="28"/>
    <tableColumn id="18" xr3:uid="{AD7B169E-B197-40AE-BF84-F611006B2228}" name="Personal Use [I use AI for creative or social media-related activities]" dataDxfId="27"/>
    <tableColumn id="19" xr3:uid="{2AEE70AE-F096-4AB1-B008-CC52AB44F652}" name="Personal Use [I use AI to seek guidance for personal or future-related decisions]" dataDxfId="26"/>
    <tableColumn id="20" xr3:uid="{E9BF15F7-6EA9-4EC5-9D77-6EF94098E076}" name="Personal Use [I use AI to explore new ideas or topics out of curiosity]" dataDxfId="25"/>
    <tableColumn id="24" xr3:uid="{9898D12F-820B-40A6-8B1D-0B384920959D}" name="Average of Personal Use" dataDxfId="24">
      <calculatedColumnFormula>AVERAGE(Form_Responses3[[#This Row],[Personal Use '[I use AI tools for personal purposes beyond academics']]:[Personal Use '[I use AI to explore new ideas or topics out of curiosity']]])</calculatedColumnFormula>
    </tableColumn>
    <tableColumn id="21" xr3:uid="{AE34C5DC-310B-4436-85F5-D28A68176F0E}" name="How do you think AI affects your thinking and learning process?" dataDxfId="23"/>
  </tableColumns>
  <tableStyleInfo name="TableStyleMedium1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T52" headerRowDxfId="22" dataDxfId="21" totalsRowDxfId="20">
  <tableColumns count="20">
    <tableColumn id="5" xr3:uid="{00000000-0010-0000-0000-000005000000}" name="AI Usage [I regularly use AI tools for academic purposes]" dataDxfId="19"/>
    <tableColumn id="6" xr3:uid="{00000000-0010-0000-0000-000006000000}" name="AI Usage [I rely on AI to complete assignments]" dataDxfId="18"/>
    <tableColumn id="7" xr3:uid="{00000000-0010-0000-0000-000007000000}" name="AI Usage [AI helps me understand difficult concepts]" dataDxfId="17"/>
    <tableColumn id="8" xr3:uid="{00000000-0010-0000-0000-000008000000}" name="AI Usage [I feel dependent on AI tools]" dataDxfId="16"/>
    <tableColumn id="16" xr3:uid="{2DD7B635-1C18-447A-95F6-DEF08BAC2F8E}" name="Average of Ai Usage" dataDxfId="15">
      <calculatedColumnFormula>AVERAGE(Form_Responses[[#This Row],[AI Usage '[I regularly use AI tools for academic purposes']]:[AI Usage '[I feel dependent on AI tools']]])</calculatedColumnFormula>
    </tableColumn>
    <tableColumn id="9" xr3:uid="{00000000-0010-0000-0000-000009000000}" name="Problem Solving Skills [I am able to solve problems without using AI]  " dataDxfId="14"/>
    <tableColumn id="10" xr3:uid="{00000000-0010-0000-0000-00000A000000}" name="Problem Solving Skills [AI helps me solve problems more efficiently]" dataDxfId="13"/>
    <tableColumn id="11" xr3:uid="{00000000-0010-0000-0000-00000B000000}" name="Problem Solving Skills [I try to understand solutions instead of just copying from AI]" dataDxfId="12"/>
    <tableColumn id="2" xr3:uid="{7D1E636D-8EC6-4284-A52A-C6DF851758C1}" name="Problem Solving Skills [I feel less confident solving problems without AI] " dataDxfId="11"/>
    <tableColumn id="22" xr3:uid="{C914A50A-103F-4174-AADB-1D8C0F577782}" name="Average of Problem solving skills" dataDxfId="10">
      <calculatedColumnFormula>AVERAGE(Form_Responses[[#This Row],[Problem Solving Skills '[I am able to solve problems without using AI']  ]:[Problem Solving Skills '[I feel less confident solving problems without AI'] ]])</calculatedColumnFormula>
    </tableColumn>
    <tableColumn id="13" xr3:uid="{00000000-0010-0000-0000-00000D000000}" name="Critical Thinking [I verify the accuracy of AI-generated responses] " dataDxfId="9"/>
    <tableColumn id="14" xr3:uid="{00000000-0010-0000-0000-00000E000000}" name="Critical Thinking [I think independently before using AI tools]" dataDxfId="8"/>
    <tableColumn id="15" xr3:uid="{00000000-0010-0000-0000-00000F000000}" name="Critical Thinking [I carefully evaluate information before accepting it]" dataDxfId="7"/>
    <tableColumn id="3" xr3:uid="{02EB66A1-6310-40A2-B481-3F784D468F77}" name="Critical Thinking [AI reduces my ability to think critically] " dataDxfId="6"/>
    <tableColumn id="23" xr3:uid="{BC9C14A9-B78A-40C6-8FA5-5EFF5F00F42A}" name="Average of Critical Thinking" dataDxfId="5">
      <calculatedColumnFormula>AVERAGE(Form_Responses[[#This Row],[Critical Thinking '[I verify the accuracy of AI-generated responses'] ]:[Critical Thinking '[AI reduces my ability to think critically'] ]])</calculatedColumnFormula>
    </tableColumn>
    <tableColumn id="17" xr3:uid="{00000000-0010-0000-0000-000011000000}" name="Personal Use [I use AI tools for personal purposes beyond academics]" dataDxfId="4"/>
    <tableColumn id="18" xr3:uid="{00000000-0010-0000-0000-000012000000}" name="Personal Use [I use AI for creative or social media-related activities]" dataDxfId="3"/>
    <tableColumn id="19" xr3:uid="{00000000-0010-0000-0000-000013000000}" name="Personal Use [I use AI to seek guidance for personal or future-related decisions]" dataDxfId="2"/>
    <tableColumn id="20" xr3:uid="{00000000-0010-0000-0000-000014000000}" name="Personal Use [I use AI to explore new ideas or topics out of curiosity]" dataDxfId="1"/>
    <tableColumn id="24" xr3:uid="{9051F1BF-ACF1-4CA2-ACDE-A5EF03A21021}" name="Average of Personal Use" dataDxfId="0">
      <calculatedColumnFormula>AVERAGE(Form_Responses[[#This Row],[Personal Use '[I use AI tools for personal purposes beyond academics']]:[Personal Use '[I use AI to explore new ideas or topics out of curiosity']]])</calculatedColumnFormula>
    </tableColumn>
  </tableColumns>
  <tableStyleInfo name="TableStyleMedium1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724419-F2CE-43CB-B34B-3DCCA4FB083A}">
  <sheetPr>
    <outlinePr summaryBelow="0" summaryRight="0"/>
  </sheetPr>
  <dimension ref="A1:U59"/>
  <sheetViews>
    <sheetView workbookViewId="0">
      <pane ySplit="10" topLeftCell="A11" activePane="bottomLeft" state="frozen"/>
      <selection pane="bottomLeft" activeCell="E64" sqref="E64"/>
    </sheetView>
  </sheetViews>
  <sheetFormatPr defaultColWidth="12.5546875" defaultRowHeight="15.75" customHeight="1" x14ac:dyDescent="0.25"/>
  <cols>
    <col min="1" max="3" width="37.5546875" style="2" customWidth="1"/>
    <col min="4" max="4" width="34.88671875" style="2" bestFit="1" customWidth="1"/>
    <col min="5" max="5" width="37.5546875" style="2" customWidth="1"/>
    <col min="6" max="6" width="61.44140625" style="2" bestFit="1" customWidth="1"/>
    <col min="7" max="7" width="75.44140625" style="2" bestFit="1" customWidth="1"/>
    <col min="8" max="9" width="37.5546875" style="2" customWidth="1"/>
    <col min="10" max="10" width="54.6640625" style="2" bestFit="1" customWidth="1"/>
    <col min="11" max="11" width="61.5546875" style="2" bestFit="1" customWidth="1"/>
    <col min="12" max="12" width="37.5546875" style="2" customWidth="1"/>
    <col min="13" max="13" width="63.109375" style="2" bestFit="1" customWidth="1"/>
    <col min="14" max="14" width="60.6640625" style="2" bestFit="1" customWidth="1"/>
    <col min="15" max="15" width="71.6640625" style="2" bestFit="1" customWidth="1"/>
    <col min="16" max="16" width="62" style="2" bestFit="1" customWidth="1"/>
    <col min="17" max="17" width="172" style="2" customWidth="1"/>
    <col min="18" max="23" width="18.88671875" style="2" customWidth="1"/>
    <col min="24" max="16384" width="12.5546875" style="2"/>
  </cols>
  <sheetData>
    <row r="1" spans="1:21" ht="22.5" customHeight="1" x14ac:dyDescent="0.25">
      <c r="A1" s="3" t="s">
        <v>0</v>
      </c>
      <c r="B1" s="3" t="s">
        <v>1</v>
      </c>
      <c r="C1" s="3" t="s">
        <v>2</v>
      </c>
      <c r="D1" s="4" t="s">
        <v>3</v>
      </c>
      <c r="E1" s="4" t="s">
        <v>4</v>
      </c>
      <c r="F1" s="3" t="s">
        <v>5</v>
      </c>
      <c r="G1" s="4" t="s">
        <v>6</v>
      </c>
      <c r="H1" s="4" t="s">
        <v>7</v>
      </c>
      <c r="I1" s="3" t="s">
        <v>8</v>
      </c>
      <c r="J1" s="3" t="s">
        <v>9</v>
      </c>
      <c r="K1" s="3" t="s">
        <v>10</v>
      </c>
      <c r="L1" s="4" t="s">
        <v>11</v>
      </c>
      <c r="M1" s="4" t="s">
        <v>12</v>
      </c>
      <c r="N1" s="3" t="s">
        <v>13</v>
      </c>
      <c r="O1" s="3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3" t="s">
        <v>19</v>
      </c>
      <c r="U1" s="3" t="s">
        <v>20</v>
      </c>
    </row>
    <row r="2" spans="1:21" ht="22.5" customHeight="1" x14ac:dyDescent="0.25">
      <c r="A2" s="1">
        <v>5</v>
      </c>
      <c r="B2" s="1">
        <v>5</v>
      </c>
      <c r="C2" s="1">
        <v>5</v>
      </c>
      <c r="D2" s="1">
        <v>4</v>
      </c>
      <c r="E2" s="1">
        <f>AVERAGE(Form_Responses3[[#This Row],[AI Usage '[I regularly use AI tools for academic purposes']]:[AI Usage '[I feel dependent on AI tools']]])</f>
        <v>4.75</v>
      </c>
      <c r="F2" s="1">
        <v>4</v>
      </c>
      <c r="G2" s="1">
        <v>4</v>
      </c>
      <c r="H2" s="1">
        <v>5</v>
      </c>
      <c r="I2" s="1">
        <v>4</v>
      </c>
      <c r="J2" s="1">
        <f>AVERAGE(Form_Responses3[[#This Row],[Problem Solving Skills '[I am able to solve problems without using AI']  ]:[Problem Solving Skills '[I feel less confident solving problems without AI'] ]])</f>
        <v>4.25</v>
      </c>
      <c r="K2" s="1">
        <v>2</v>
      </c>
      <c r="L2" s="1">
        <v>4</v>
      </c>
      <c r="M2" s="1">
        <v>4</v>
      </c>
      <c r="N2" s="1">
        <v>3</v>
      </c>
      <c r="O2" s="1">
        <f>AVERAGE(Form_Responses3[[#This Row],[Critical Thinking '[I verify the accuracy of AI-generated responses'] ]:[Critical Thinking '[AI reduces my ability to think critically'] ]])</f>
        <v>3.25</v>
      </c>
      <c r="P2" s="1">
        <v>1</v>
      </c>
      <c r="Q2" s="1">
        <v>2</v>
      </c>
      <c r="R2" s="1">
        <v>1</v>
      </c>
      <c r="S2" s="1">
        <v>4</v>
      </c>
      <c r="T2" s="1">
        <f>AVERAGE(Form_Responses3[[#This Row],[Personal Use '[I use AI tools for personal purposes beyond academics']]:[Personal Use '[I use AI to explore new ideas or topics out of curiosity']]])</f>
        <v>2</v>
      </c>
      <c r="U2" s="1" t="s">
        <v>21</v>
      </c>
    </row>
    <row r="3" spans="1:21" ht="22.5" customHeight="1" x14ac:dyDescent="0.25">
      <c r="A3" s="1">
        <v>5</v>
      </c>
      <c r="B3" s="1">
        <v>4</v>
      </c>
      <c r="C3" s="1">
        <v>5</v>
      </c>
      <c r="D3" s="1">
        <v>4</v>
      </c>
      <c r="E3" s="1">
        <f>AVERAGE(Form_Responses3[[#This Row],[AI Usage '[I regularly use AI tools for academic purposes']]:[AI Usage '[I feel dependent on AI tools']]])</f>
        <v>4.5</v>
      </c>
      <c r="F3" s="1">
        <v>4</v>
      </c>
      <c r="G3" s="1">
        <v>3</v>
      </c>
      <c r="H3" s="1">
        <v>5</v>
      </c>
      <c r="I3" s="1">
        <v>4</v>
      </c>
      <c r="J3" s="1">
        <f>AVERAGE(Form_Responses3[[#This Row],[Problem Solving Skills '[I am able to solve problems without using AI']  ]:[Problem Solving Skills '[I feel less confident solving problems without AI'] ]])</f>
        <v>4</v>
      </c>
      <c r="K3" s="1">
        <v>5</v>
      </c>
      <c r="L3" s="1">
        <v>4</v>
      </c>
      <c r="M3" s="1">
        <v>5</v>
      </c>
      <c r="N3" s="1">
        <v>2</v>
      </c>
      <c r="O3" s="1">
        <f>AVERAGE(Form_Responses3[[#This Row],[Critical Thinking '[I verify the accuracy of AI-generated responses'] ]:[Critical Thinking '[AI reduces my ability to think critically'] ]])</f>
        <v>4</v>
      </c>
      <c r="P3" s="1">
        <v>4</v>
      </c>
      <c r="Q3" s="1">
        <v>4</v>
      </c>
      <c r="R3" s="1">
        <v>4</v>
      </c>
      <c r="S3" s="1">
        <v>5</v>
      </c>
      <c r="T3" s="1">
        <f>AVERAGE(Form_Responses3[[#This Row],[Personal Use '[I use AI tools for personal purposes beyond academics']]:[Personal Use '[I use AI to explore new ideas or topics out of curiosity']]])</f>
        <v>4.25</v>
      </c>
      <c r="U3" s="1" t="s">
        <v>22</v>
      </c>
    </row>
    <row r="4" spans="1:21" ht="22.5" customHeight="1" x14ac:dyDescent="0.25">
      <c r="A4" s="1">
        <v>5</v>
      </c>
      <c r="B4" s="1">
        <v>3</v>
      </c>
      <c r="C4" s="1">
        <v>5</v>
      </c>
      <c r="D4" s="1">
        <v>3</v>
      </c>
      <c r="E4" s="1">
        <f>AVERAGE(Form_Responses3[[#This Row],[AI Usage '[I regularly use AI tools for academic purposes']]:[AI Usage '[I feel dependent on AI tools']]])</f>
        <v>4</v>
      </c>
      <c r="F4" s="1">
        <v>3</v>
      </c>
      <c r="G4" s="1">
        <v>5</v>
      </c>
      <c r="H4" s="1">
        <v>5</v>
      </c>
      <c r="I4" s="1">
        <v>4</v>
      </c>
      <c r="J4" s="1">
        <f>AVERAGE(Form_Responses3[[#This Row],[Problem Solving Skills '[I am able to solve problems without using AI']  ]:[Problem Solving Skills '[I feel less confident solving problems without AI'] ]])</f>
        <v>4.25</v>
      </c>
      <c r="K4" s="1">
        <v>5</v>
      </c>
      <c r="L4" s="1">
        <v>5</v>
      </c>
      <c r="M4" s="1">
        <v>5</v>
      </c>
      <c r="N4" s="1">
        <v>3</v>
      </c>
      <c r="O4" s="1">
        <f>AVERAGE(Form_Responses3[[#This Row],[Critical Thinking '[I verify the accuracy of AI-generated responses'] ]:[Critical Thinking '[AI reduces my ability to think critically'] ]])</f>
        <v>4.5</v>
      </c>
      <c r="P4" s="1">
        <v>4</v>
      </c>
      <c r="Q4" s="1">
        <v>4</v>
      </c>
      <c r="R4" s="1">
        <v>4</v>
      </c>
      <c r="S4" s="1">
        <v>4</v>
      </c>
      <c r="T4" s="1">
        <f>AVERAGE(Form_Responses3[[#This Row],[Personal Use '[I use AI tools for personal purposes beyond academics']]:[Personal Use '[I use AI to explore new ideas or topics out of curiosity']]])</f>
        <v>4</v>
      </c>
      <c r="U4" s="1" t="s">
        <v>23</v>
      </c>
    </row>
    <row r="5" spans="1:21" ht="22.5" customHeight="1" x14ac:dyDescent="0.25">
      <c r="A5" s="1">
        <v>5</v>
      </c>
      <c r="B5" s="1">
        <v>5</v>
      </c>
      <c r="C5" s="1">
        <v>4</v>
      </c>
      <c r="D5" s="1">
        <v>4</v>
      </c>
      <c r="E5" s="1">
        <f>AVERAGE(Form_Responses3[[#This Row],[AI Usage '[I regularly use AI tools for academic purposes']]:[AI Usage '[I feel dependent on AI tools']]])</f>
        <v>4.5</v>
      </c>
      <c r="F5" s="1">
        <v>4</v>
      </c>
      <c r="G5" s="1">
        <v>4</v>
      </c>
      <c r="H5" s="1">
        <v>3</v>
      </c>
      <c r="I5" s="1">
        <v>4</v>
      </c>
      <c r="J5" s="1">
        <f>AVERAGE(Form_Responses3[[#This Row],[Problem Solving Skills '[I am able to solve problems without using AI']  ]:[Problem Solving Skills '[I feel less confident solving problems without AI'] ]])</f>
        <v>3.75</v>
      </c>
      <c r="K5" s="1">
        <v>4</v>
      </c>
      <c r="L5" s="1">
        <v>4</v>
      </c>
      <c r="M5" s="1">
        <v>5</v>
      </c>
      <c r="N5" s="1">
        <v>2</v>
      </c>
      <c r="O5" s="1">
        <f>AVERAGE(Form_Responses3[[#This Row],[Critical Thinking '[I verify the accuracy of AI-generated responses'] ]:[Critical Thinking '[AI reduces my ability to think critically'] ]])</f>
        <v>3.75</v>
      </c>
      <c r="P5" s="1">
        <v>5</v>
      </c>
      <c r="Q5" s="1">
        <v>4</v>
      </c>
      <c r="R5" s="1">
        <v>5</v>
      </c>
      <c r="S5" s="1">
        <v>3</v>
      </c>
      <c r="T5" s="1">
        <f>AVERAGE(Form_Responses3[[#This Row],[Personal Use '[I use AI tools for personal purposes beyond academics']]:[Personal Use '[I use AI to explore new ideas or topics out of curiosity']]])</f>
        <v>4.25</v>
      </c>
      <c r="U5" s="1" t="s">
        <v>24</v>
      </c>
    </row>
    <row r="6" spans="1:21" ht="22.5" customHeight="1" x14ac:dyDescent="0.25">
      <c r="A6" s="1">
        <v>5</v>
      </c>
      <c r="B6" s="1">
        <v>4</v>
      </c>
      <c r="C6" s="1">
        <v>5</v>
      </c>
      <c r="D6" s="1">
        <v>4</v>
      </c>
      <c r="E6" s="1">
        <f>AVERAGE(Form_Responses3[[#This Row],[AI Usage '[I regularly use AI tools for academic purposes']]:[AI Usage '[I feel dependent on AI tools']]])</f>
        <v>4.5</v>
      </c>
      <c r="F6" s="1">
        <v>2</v>
      </c>
      <c r="G6" s="1">
        <v>4</v>
      </c>
      <c r="H6" s="1">
        <v>4</v>
      </c>
      <c r="I6" s="1">
        <v>4</v>
      </c>
      <c r="J6" s="1">
        <f>AVERAGE(Form_Responses3[[#This Row],[Problem Solving Skills '[I am able to solve problems without using AI']  ]:[Problem Solving Skills '[I feel less confident solving problems without AI'] ]])</f>
        <v>3.5</v>
      </c>
      <c r="K6" s="1">
        <v>5</v>
      </c>
      <c r="L6" s="1">
        <v>5</v>
      </c>
      <c r="M6" s="1">
        <v>5</v>
      </c>
      <c r="N6" s="1">
        <v>1</v>
      </c>
      <c r="O6" s="1">
        <f>AVERAGE(Form_Responses3[[#This Row],[Critical Thinking '[I verify the accuracy of AI-generated responses'] ]:[Critical Thinking '[AI reduces my ability to think critically'] ]])</f>
        <v>4</v>
      </c>
      <c r="P6" s="1">
        <v>5</v>
      </c>
      <c r="Q6" s="1">
        <v>5</v>
      </c>
      <c r="R6" s="1">
        <v>5</v>
      </c>
      <c r="S6" s="1">
        <v>5</v>
      </c>
      <c r="T6" s="1">
        <f>AVERAGE(Form_Responses3[[#This Row],[Personal Use '[I use AI tools for personal purposes beyond academics']]:[Personal Use '[I use AI to explore new ideas or topics out of curiosity']]])</f>
        <v>5</v>
      </c>
      <c r="U6" s="1" t="s">
        <v>25</v>
      </c>
    </row>
    <row r="7" spans="1:21" ht="22.5" customHeight="1" x14ac:dyDescent="0.25">
      <c r="A7" s="1">
        <v>5</v>
      </c>
      <c r="B7" s="1">
        <v>5</v>
      </c>
      <c r="C7" s="1">
        <v>5</v>
      </c>
      <c r="D7" s="1">
        <v>5</v>
      </c>
      <c r="E7" s="1">
        <f>AVERAGE(Form_Responses3[[#This Row],[AI Usage '[I regularly use AI tools for academic purposes']]:[AI Usage '[I feel dependent on AI tools']]])</f>
        <v>5</v>
      </c>
      <c r="F7" s="1">
        <v>4</v>
      </c>
      <c r="G7" s="1">
        <v>5</v>
      </c>
      <c r="H7" s="1">
        <v>5</v>
      </c>
      <c r="I7" s="1">
        <v>2</v>
      </c>
      <c r="J7" s="1">
        <f>AVERAGE(Form_Responses3[[#This Row],[Problem Solving Skills '[I am able to solve problems without using AI']  ]:[Problem Solving Skills '[I feel less confident solving problems without AI'] ]])</f>
        <v>4</v>
      </c>
      <c r="K7" s="1">
        <v>4</v>
      </c>
      <c r="L7" s="1">
        <v>3</v>
      </c>
      <c r="M7" s="1">
        <v>2</v>
      </c>
      <c r="N7" s="1">
        <v>3</v>
      </c>
      <c r="O7" s="1">
        <f>AVERAGE(Form_Responses3[[#This Row],[Critical Thinking '[I verify the accuracy of AI-generated responses'] ]:[Critical Thinking '[AI reduces my ability to think critically'] ]])</f>
        <v>3</v>
      </c>
      <c r="P7" s="1">
        <v>4</v>
      </c>
      <c r="Q7" s="1">
        <v>4</v>
      </c>
      <c r="R7" s="1">
        <v>3</v>
      </c>
      <c r="S7" s="1">
        <v>4</v>
      </c>
      <c r="T7" s="1">
        <f>AVERAGE(Form_Responses3[[#This Row],[Personal Use '[I use AI tools for personal purposes beyond academics']]:[Personal Use '[I use AI to explore new ideas or topics out of curiosity']]])</f>
        <v>3.75</v>
      </c>
      <c r="U7" s="1" t="s">
        <v>26</v>
      </c>
    </row>
    <row r="8" spans="1:21" ht="22.5" customHeight="1" x14ac:dyDescent="0.25">
      <c r="A8" s="1">
        <v>5</v>
      </c>
      <c r="B8" s="1">
        <v>5</v>
      </c>
      <c r="C8" s="1">
        <v>2</v>
      </c>
      <c r="D8" s="1">
        <v>3</v>
      </c>
      <c r="E8" s="1">
        <f>AVERAGE(Form_Responses3[[#This Row],[AI Usage '[I regularly use AI tools for academic purposes']]:[AI Usage '[I feel dependent on AI tools']]])</f>
        <v>3.75</v>
      </c>
      <c r="F8" s="1">
        <v>4</v>
      </c>
      <c r="G8" s="1">
        <v>5</v>
      </c>
      <c r="H8" s="1">
        <v>3</v>
      </c>
      <c r="I8" s="1">
        <v>2</v>
      </c>
      <c r="J8" s="1">
        <f>AVERAGE(Form_Responses3[[#This Row],[Problem Solving Skills '[I am able to solve problems without using AI']  ]:[Problem Solving Skills '[I feel less confident solving problems without AI'] ]])</f>
        <v>3.5</v>
      </c>
      <c r="K8" s="1">
        <v>2</v>
      </c>
      <c r="L8" s="1">
        <v>3</v>
      </c>
      <c r="M8" s="1">
        <v>4</v>
      </c>
      <c r="N8" s="1">
        <v>1</v>
      </c>
      <c r="O8" s="1">
        <f>AVERAGE(Form_Responses3[[#This Row],[Critical Thinking '[I verify the accuracy of AI-generated responses'] ]:[Critical Thinking '[AI reduces my ability to think critically'] ]])</f>
        <v>2.5</v>
      </c>
      <c r="P8" s="1">
        <v>4</v>
      </c>
      <c r="Q8" s="1">
        <v>1</v>
      </c>
      <c r="R8" s="1">
        <v>1</v>
      </c>
      <c r="S8" s="1">
        <v>4</v>
      </c>
      <c r="T8" s="1">
        <f>AVERAGE(Form_Responses3[[#This Row],[Personal Use '[I use AI tools for personal purposes beyond academics']]:[Personal Use '[I use AI to explore new ideas or topics out of curiosity']]])</f>
        <v>2.5</v>
      </c>
      <c r="U8" s="1" t="s">
        <v>27</v>
      </c>
    </row>
    <row r="9" spans="1:21" ht="22.5" customHeight="1" x14ac:dyDescent="0.25">
      <c r="A9" s="1">
        <v>5</v>
      </c>
      <c r="B9" s="1">
        <v>5</v>
      </c>
      <c r="C9" s="1">
        <v>5</v>
      </c>
      <c r="D9" s="1">
        <v>5</v>
      </c>
      <c r="E9" s="1">
        <f>AVERAGE(Form_Responses3[[#This Row],[AI Usage '[I regularly use AI tools for academic purposes']]:[AI Usage '[I feel dependent on AI tools']]])</f>
        <v>5</v>
      </c>
      <c r="F9" s="1">
        <v>2</v>
      </c>
      <c r="G9" s="1">
        <v>5</v>
      </c>
      <c r="H9" s="1">
        <v>2</v>
      </c>
      <c r="I9" s="1">
        <v>2</v>
      </c>
      <c r="J9" s="1">
        <f>AVERAGE(Form_Responses3[[#This Row],[Problem Solving Skills '[I am able to solve problems without using AI']  ]:[Problem Solving Skills '[I feel less confident solving problems without AI'] ]])</f>
        <v>2.75</v>
      </c>
      <c r="K9" s="1">
        <v>2</v>
      </c>
      <c r="L9" s="1">
        <v>2</v>
      </c>
      <c r="M9" s="1">
        <v>2</v>
      </c>
      <c r="N9" s="1">
        <v>1</v>
      </c>
      <c r="O9" s="1">
        <f>AVERAGE(Form_Responses3[[#This Row],[Critical Thinking '[I verify the accuracy of AI-generated responses'] ]:[Critical Thinking '[AI reduces my ability to think critically'] ]])</f>
        <v>1.75</v>
      </c>
      <c r="P9" s="1">
        <v>4</v>
      </c>
      <c r="Q9" s="1">
        <v>4</v>
      </c>
      <c r="R9" s="1">
        <v>5</v>
      </c>
      <c r="S9" s="1">
        <v>4</v>
      </c>
      <c r="T9" s="1">
        <f>AVERAGE(Form_Responses3[[#This Row],[Personal Use '[I use AI tools for personal purposes beyond academics']]:[Personal Use '[I use AI to explore new ideas or topics out of curiosity']]])</f>
        <v>4.25</v>
      </c>
      <c r="U9" s="1" t="s">
        <v>28</v>
      </c>
    </row>
    <row r="10" spans="1:21" ht="22.5" customHeight="1" x14ac:dyDescent="0.25">
      <c r="A10" s="1">
        <v>5</v>
      </c>
      <c r="B10" s="1">
        <v>4</v>
      </c>
      <c r="C10" s="1">
        <v>5</v>
      </c>
      <c r="D10" s="1">
        <v>3</v>
      </c>
      <c r="E10" s="1">
        <f>AVERAGE(Form_Responses3[[#This Row],[AI Usage '[I regularly use AI tools for academic purposes']]:[AI Usage '[I feel dependent on AI tools']]])</f>
        <v>4.25</v>
      </c>
      <c r="F10" s="1">
        <v>3</v>
      </c>
      <c r="G10" s="1">
        <v>4</v>
      </c>
      <c r="H10" s="1">
        <v>4</v>
      </c>
      <c r="I10" s="1">
        <v>4</v>
      </c>
      <c r="J10" s="1">
        <f>AVERAGE(Form_Responses3[[#This Row],[Problem Solving Skills '[I am able to solve problems without using AI']  ]:[Problem Solving Skills '[I feel less confident solving problems without AI'] ]])</f>
        <v>3.75</v>
      </c>
      <c r="K10" s="1">
        <v>4</v>
      </c>
      <c r="L10" s="1">
        <v>3</v>
      </c>
      <c r="M10" s="1">
        <v>4</v>
      </c>
      <c r="N10" s="1">
        <v>2</v>
      </c>
      <c r="O10" s="1">
        <f>AVERAGE(Form_Responses3[[#This Row],[Critical Thinking '[I verify the accuracy of AI-generated responses'] ]:[Critical Thinking '[AI reduces my ability to think critically'] ]])</f>
        <v>3.25</v>
      </c>
      <c r="P10" s="1">
        <v>4</v>
      </c>
      <c r="Q10" s="1">
        <v>4</v>
      </c>
      <c r="R10" s="1">
        <v>4</v>
      </c>
      <c r="S10" s="1">
        <v>4</v>
      </c>
      <c r="T10" s="1">
        <f>AVERAGE(Form_Responses3[[#This Row],[Personal Use '[I use AI tools for personal purposes beyond academics']]:[Personal Use '[I use AI to explore new ideas or topics out of curiosity']]])</f>
        <v>4</v>
      </c>
      <c r="U10" s="1" t="s">
        <v>29</v>
      </c>
    </row>
    <row r="11" spans="1:21" ht="22.5" customHeight="1" x14ac:dyDescent="0.25">
      <c r="A11" s="1">
        <v>5</v>
      </c>
      <c r="B11" s="1">
        <v>5</v>
      </c>
      <c r="C11" s="1">
        <v>5</v>
      </c>
      <c r="D11" s="1">
        <v>1</v>
      </c>
      <c r="E11" s="1">
        <f>AVERAGE(Form_Responses3[[#This Row],[AI Usage '[I regularly use AI tools for academic purposes']]:[AI Usage '[I feel dependent on AI tools']]])</f>
        <v>4</v>
      </c>
      <c r="F11" s="1">
        <v>5</v>
      </c>
      <c r="G11" s="1">
        <v>5</v>
      </c>
      <c r="H11" s="1">
        <v>5</v>
      </c>
      <c r="I11" s="1">
        <v>5</v>
      </c>
      <c r="J11" s="1">
        <f>AVERAGE(Form_Responses3[[#This Row],[Problem Solving Skills '[I am able to solve problems without using AI']  ]:[Problem Solving Skills '[I feel less confident solving problems without AI'] ]])</f>
        <v>5</v>
      </c>
      <c r="K11" s="1">
        <v>5</v>
      </c>
      <c r="L11" s="1">
        <v>1</v>
      </c>
      <c r="M11" s="1">
        <v>1</v>
      </c>
      <c r="N11" s="1">
        <v>5</v>
      </c>
      <c r="O11" s="1">
        <f>AVERAGE(Form_Responses3[[#This Row],[Critical Thinking '[I verify the accuracy of AI-generated responses'] ]:[Critical Thinking '[AI reduces my ability to think critically'] ]])</f>
        <v>3</v>
      </c>
      <c r="P11" s="1">
        <v>5</v>
      </c>
      <c r="Q11" s="1">
        <v>5</v>
      </c>
      <c r="R11" s="1">
        <v>5</v>
      </c>
      <c r="S11" s="1">
        <v>5</v>
      </c>
      <c r="T11" s="1">
        <f>AVERAGE(Form_Responses3[[#This Row],[Personal Use '[I use AI tools for personal purposes beyond academics']]:[Personal Use '[I use AI to explore new ideas or topics out of curiosity']]])</f>
        <v>5</v>
      </c>
      <c r="U11" s="1" t="s">
        <v>30</v>
      </c>
    </row>
    <row r="12" spans="1:21" ht="22.5" customHeight="1" x14ac:dyDescent="0.25">
      <c r="A12" s="1">
        <v>4</v>
      </c>
      <c r="B12" s="1">
        <v>4</v>
      </c>
      <c r="C12" s="1">
        <v>5</v>
      </c>
      <c r="D12" s="1">
        <v>4</v>
      </c>
      <c r="E12" s="1">
        <f>AVERAGE(Form_Responses3[[#This Row],[AI Usage '[I regularly use AI tools for academic purposes']]:[AI Usage '[I feel dependent on AI tools']]])</f>
        <v>4.25</v>
      </c>
      <c r="F12" s="1">
        <v>3</v>
      </c>
      <c r="G12" s="1">
        <v>4</v>
      </c>
      <c r="H12" s="1">
        <v>4</v>
      </c>
      <c r="I12" s="1">
        <v>4</v>
      </c>
      <c r="J12" s="1">
        <f>AVERAGE(Form_Responses3[[#This Row],[Problem Solving Skills '[I am able to solve problems without using AI']  ]:[Problem Solving Skills '[I feel less confident solving problems without AI'] ]])</f>
        <v>3.75</v>
      </c>
      <c r="K12" s="1">
        <v>4</v>
      </c>
      <c r="L12" s="1">
        <v>3</v>
      </c>
      <c r="M12" s="1">
        <v>3</v>
      </c>
      <c r="N12" s="1">
        <v>2</v>
      </c>
      <c r="O12" s="1">
        <f>AVERAGE(Form_Responses3[[#This Row],[Critical Thinking '[I verify the accuracy of AI-generated responses'] ]:[Critical Thinking '[AI reduces my ability to think critically'] ]])</f>
        <v>3</v>
      </c>
      <c r="P12" s="1">
        <v>5</v>
      </c>
      <c r="Q12" s="1">
        <v>5</v>
      </c>
      <c r="R12" s="1">
        <v>5</v>
      </c>
      <c r="S12" s="1">
        <v>5</v>
      </c>
      <c r="T12" s="1">
        <f>AVERAGE(Form_Responses3[[#This Row],[Personal Use '[I use AI tools for personal purposes beyond academics']]:[Personal Use '[I use AI to explore new ideas or topics out of curiosity']]])</f>
        <v>5</v>
      </c>
      <c r="U12" s="1" t="s">
        <v>31</v>
      </c>
    </row>
    <row r="13" spans="1:21" ht="22.5" customHeight="1" x14ac:dyDescent="0.25">
      <c r="A13" s="1">
        <v>3</v>
      </c>
      <c r="B13" s="1">
        <v>5</v>
      </c>
      <c r="C13" s="1">
        <v>5</v>
      </c>
      <c r="D13" s="1">
        <v>5</v>
      </c>
      <c r="E13" s="1">
        <f>AVERAGE(Form_Responses3[[#This Row],[AI Usage '[I regularly use AI tools for academic purposes']]:[AI Usage '[I feel dependent on AI tools']]])</f>
        <v>4.5</v>
      </c>
      <c r="F13" s="1">
        <v>3</v>
      </c>
      <c r="G13" s="1">
        <v>3</v>
      </c>
      <c r="H13" s="1">
        <v>3</v>
      </c>
      <c r="I13" s="1">
        <v>3</v>
      </c>
      <c r="J13" s="1">
        <f>AVERAGE(Form_Responses3[[#This Row],[Problem Solving Skills '[I am able to solve problems without using AI']  ]:[Problem Solving Skills '[I feel less confident solving problems without AI'] ]])</f>
        <v>3</v>
      </c>
      <c r="K13" s="1">
        <v>3</v>
      </c>
      <c r="L13" s="1">
        <v>3</v>
      </c>
      <c r="M13" s="1">
        <v>3</v>
      </c>
      <c r="N13" s="1">
        <v>3</v>
      </c>
      <c r="O13" s="1">
        <f>AVERAGE(Form_Responses3[[#This Row],[Critical Thinking '[I verify the accuracy of AI-generated responses'] ]:[Critical Thinking '[AI reduces my ability to think critically'] ]])</f>
        <v>3</v>
      </c>
      <c r="P13" s="1">
        <v>3</v>
      </c>
      <c r="Q13" s="1">
        <v>3</v>
      </c>
      <c r="R13" s="1">
        <v>3</v>
      </c>
      <c r="S13" s="1">
        <v>3</v>
      </c>
      <c r="T13" s="1">
        <f>AVERAGE(Form_Responses3[[#This Row],[Personal Use '[I use AI tools for personal purposes beyond academics']]:[Personal Use '[I use AI to explore new ideas or topics out of curiosity']]])</f>
        <v>3</v>
      </c>
      <c r="U13" s="1" t="s">
        <v>32</v>
      </c>
    </row>
    <row r="14" spans="1:21" ht="22.5" customHeight="1" x14ac:dyDescent="0.25">
      <c r="A14" s="1">
        <v>5</v>
      </c>
      <c r="B14" s="1">
        <v>4</v>
      </c>
      <c r="C14" s="1">
        <v>3</v>
      </c>
      <c r="D14" s="1">
        <v>2</v>
      </c>
      <c r="E14" s="1">
        <f>AVERAGE(Form_Responses3[[#This Row],[AI Usage '[I regularly use AI tools for academic purposes']]:[AI Usage '[I feel dependent on AI tools']]])</f>
        <v>3.5</v>
      </c>
      <c r="F14" s="1">
        <v>2</v>
      </c>
      <c r="G14" s="1">
        <v>4</v>
      </c>
      <c r="H14" s="1">
        <v>4</v>
      </c>
      <c r="I14" s="1">
        <v>4</v>
      </c>
      <c r="J14" s="1">
        <f>AVERAGE(Form_Responses3[[#This Row],[Problem Solving Skills '[I am able to solve problems without using AI']  ]:[Problem Solving Skills '[I feel less confident solving problems without AI'] ]])</f>
        <v>3.5</v>
      </c>
      <c r="K14" s="1">
        <v>3</v>
      </c>
      <c r="L14" s="1">
        <v>5</v>
      </c>
      <c r="M14" s="1">
        <v>3</v>
      </c>
      <c r="N14" s="1">
        <v>3</v>
      </c>
      <c r="O14" s="1">
        <f>AVERAGE(Form_Responses3[[#This Row],[Critical Thinking '[I verify the accuracy of AI-generated responses'] ]:[Critical Thinking '[AI reduces my ability to think critically'] ]])</f>
        <v>3.5</v>
      </c>
      <c r="P14" s="1">
        <v>2</v>
      </c>
      <c r="Q14" s="1">
        <v>2</v>
      </c>
      <c r="R14" s="1">
        <v>1</v>
      </c>
      <c r="S14" s="1">
        <v>2</v>
      </c>
      <c r="T14" s="1">
        <f>AVERAGE(Form_Responses3[[#This Row],[Personal Use '[I use AI tools for personal purposes beyond academics']]:[Personal Use '[I use AI to explore new ideas or topics out of curiosity']]])</f>
        <v>1.75</v>
      </c>
      <c r="U14" s="1" t="s">
        <v>33</v>
      </c>
    </row>
    <row r="15" spans="1:21" ht="22.5" customHeight="1" x14ac:dyDescent="0.25">
      <c r="A15" s="1">
        <v>4</v>
      </c>
      <c r="B15" s="1">
        <v>3</v>
      </c>
      <c r="C15" s="1">
        <v>5</v>
      </c>
      <c r="D15" s="1">
        <v>3</v>
      </c>
      <c r="E15" s="1">
        <f>AVERAGE(Form_Responses3[[#This Row],[AI Usage '[I regularly use AI tools for academic purposes']]:[AI Usage '[I feel dependent on AI tools']]])</f>
        <v>3.75</v>
      </c>
      <c r="F15" s="1">
        <v>3</v>
      </c>
      <c r="G15" s="1">
        <v>4</v>
      </c>
      <c r="H15" s="1">
        <v>4</v>
      </c>
      <c r="I15" s="1">
        <v>4</v>
      </c>
      <c r="J15" s="1">
        <f>AVERAGE(Form_Responses3[[#This Row],[Problem Solving Skills '[I am able to solve problems without using AI']  ]:[Problem Solving Skills '[I feel less confident solving problems without AI'] ]])</f>
        <v>3.75</v>
      </c>
      <c r="K15" s="1">
        <v>4</v>
      </c>
      <c r="L15" s="1">
        <v>4</v>
      </c>
      <c r="M15" s="1">
        <v>4</v>
      </c>
      <c r="N15" s="1">
        <v>4</v>
      </c>
      <c r="O15" s="1">
        <f>AVERAGE(Form_Responses3[[#This Row],[Critical Thinking '[I verify the accuracy of AI-generated responses'] ]:[Critical Thinking '[AI reduces my ability to think critically'] ]])</f>
        <v>4</v>
      </c>
      <c r="P15" s="1">
        <v>3</v>
      </c>
      <c r="Q15" s="1">
        <v>2</v>
      </c>
      <c r="R15" s="1">
        <v>2</v>
      </c>
      <c r="S15" s="1">
        <v>4</v>
      </c>
      <c r="T15" s="1">
        <f>AVERAGE(Form_Responses3[[#This Row],[Personal Use '[I use AI tools for personal purposes beyond academics']]:[Personal Use '[I use AI to explore new ideas or topics out of curiosity']]])</f>
        <v>2.75</v>
      </c>
      <c r="U15" s="1" t="s">
        <v>34</v>
      </c>
    </row>
    <row r="16" spans="1:21" ht="22.5" customHeight="1" x14ac:dyDescent="0.25">
      <c r="A16" s="1">
        <v>5</v>
      </c>
      <c r="B16" s="1">
        <v>4</v>
      </c>
      <c r="C16" s="1">
        <v>4</v>
      </c>
      <c r="D16" s="1">
        <v>4</v>
      </c>
      <c r="E16" s="1">
        <f>AVERAGE(Form_Responses3[[#This Row],[AI Usage '[I regularly use AI tools for academic purposes']]:[AI Usage '[I feel dependent on AI tools']]])</f>
        <v>4.25</v>
      </c>
      <c r="F16" s="1">
        <v>3</v>
      </c>
      <c r="G16" s="1">
        <v>4</v>
      </c>
      <c r="H16" s="1">
        <v>3</v>
      </c>
      <c r="I16" s="1">
        <v>2</v>
      </c>
      <c r="J16" s="1">
        <f>AVERAGE(Form_Responses3[[#This Row],[Problem Solving Skills '[I am able to solve problems without using AI']  ]:[Problem Solving Skills '[I feel less confident solving problems without AI'] ]])</f>
        <v>3</v>
      </c>
      <c r="K16" s="1">
        <v>3</v>
      </c>
      <c r="L16" s="1">
        <v>3</v>
      </c>
      <c r="M16" s="1">
        <v>3</v>
      </c>
      <c r="N16" s="1">
        <v>3</v>
      </c>
      <c r="O16" s="1">
        <f>AVERAGE(Form_Responses3[[#This Row],[Critical Thinking '[I verify the accuracy of AI-generated responses'] ]:[Critical Thinking '[AI reduces my ability to think critically'] ]])</f>
        <v>3</v>
      </c>
      <c r="P16" s="1">
        <v>4</v>
      </c>
      <c r="Q16" s="1">
        <v>4</v>
      </c>
      <c r="R16" s="1">
        <v>4</v>
      </c>
      <c r="S16" s="1">
        <v>4</v>
      </c>
      <c r="T16" s="1">
        <f>AVERAGE(Form_Responses3[[#This Row],[Personal Use '[I use AI tools for personal purposes beyond academics']]:[Personal Use '[I use AI to explore new ideas or topics out of curiosity']]])</f>
        <v>4</v>
      </c>
      <c r="U16" s="1" t="s">
        <v>35</v>
      </c>
    </row>
    <row r="17" spans="1:21" ht="22.5" customHeight="1" x14ac:dyDescent="0.25">
      <c r="A17" s="1">
        <v>4</v>
      </c>
      <c r="B17" s="1">
        <v>3</v>
      </c>
      <c r="C17" s="1">
        <v>5</v>
      </c>
      <c r="D17" s="1">
        <v>4</v>
      </c>
      <c r="E17" s="1">
        <f>AVERAGE(Form_Responses3[[#This Row],[AI Usage '[I regularly use AI tools for academic purposes']]:[AI Usage '[I feel dependent on AI tools']]])</f>
        <v>4</v>
      </c>
      <c r="F17" s="1">
        <v>4</v>
      </c>
      <c r="G17" s="1">
        <v>3</v>
      </c>
      <c r="H17" s="1">
        <v>4</v>
      </c>
      <c r="I17" s="1">
        <v>4</v>
      </c>
      <c r="J17" s="1">
        <f>AVERAGE(Form_Responses3[[#This Row],[Problem Solving Skills '[I am able to solve problems without using AI']  ]:[Problem Solving Skills '[I feel less confident solving problems without AI'] ]])</f>
        <v>3.75</v>
      </c>
      <c r="K17" s="1">
        <v>3</v>
      </c>
      <c r="L17" s="1">
        <v>3</v>
      </c>
      <c r="M17" s="1">
        <v>3</v>
      </c>
      <c r="N17" s="1">
        <v>3</v>
      </c>
      <c r="O17" s="1">
        <f>AVERAGE(Form_Responses3[[#This Row],[Critical Thinking '[I verify the accuracy of AI-generated responses'] ]:[Critical Thinking '[AI reduces my ability to think critically'] ]])</f>
        <v>3</v>
      </c>
      <c r="P17" s="1">
        <v>2</v>
      </c>
      <c r="Q17" s="1">
        <v>2</v>
      </c>
      <c r="R17" s="1">
        <v>2</v>
      </c>
      <c r="S17" s="1">
        <v>2</v>
      </c>
      <c r="T17" s="1">
        <f>AVERAGE(Form_Responses3[[#This Row],[Personal Use '[I use AI tools for personal purposes beyond academics']]:[Personal Use '[I use AI to explore new ideas or topics out of curiosity']]])</f>
        <v>2</v>
      </c>
      <c r="U17" s="1" t="s">
        <v>36</v>
      </c>
    </row>
    <row r="18" spans="1:21" ht="22.5" customHeight="1" x14ac:dyDescent="0.25">
      <c r="A18" s="1">
        <v>4</v>
      </c>
      <c r="B18" s="1">
        <v>4</v>
      </c>
      <c r="C18" s="1">
        <v>4</v>
      </c>
      <c r="D18" s="1">
        <v>4</v>
      </c>
      <c r="E18" s="1">
        <f>AVERAGE(Form_Responses3[[#This Row],[AI Usage '[I regularly use AI tools for academic purposes']]:[AI Usage '[I feel dependent on AI tools']]])</f>
        <v>4</v>
      </c>
      <c r="F18" s="1">
        <v>3</v>
      </c>
      <c r="G18" s="1">
        <v>3</v>
      </c>
      <c r="H18" s="1">
        <v>3</v>
      </c>
      <c r="I18" s="1">
        <v>3</v>
      </c>
      <c r="J18" s="1">
        <f>AVERAGE(Form_Responses3[[#This Row],[Problem Solving Skills '[I am able to solve problems without using AI']  ]:[Problem Solving Skills '[I feel less confident solving problems without AI'] ]])</f>
        <v>3</v>
      </c>
      <c r="K18" s="1">
        <v>2</v>
      </c>
      <c r="L18" s="1">
        <v>2</v>
      </c>
      <c r="M18" s="1">
        <v>2</v>
      </c>
      <c r="N18" s="1">
        <v>4</v>
      </c>
      <c r="O18" s="1">
        <f>AVERAGE(Form_Responses3[[#This Row],[Critical Thinking '[I verify the accuracy of AI-generated responses'] ]:[Critical Thinking '[AI reduces my ability to think critically'] ]])</f>
        <v>2.5</v>
      </c>
      <c r="P18" s="1">
        <v>3</v>
      </c>
      <c r="Q18" s="1">
        <v>3</v>
      </c>
      <c r="R18" s="1">
        <v>3</v>
      </c>
      <c r="S18" s="1">
        <v>3</v>
      </c>
      <c r="T18" s="1">
        <f>AVERAGE(Form_Responses3[[#This Row],[Personal Use '[I use AI tools for personal purposes beyond academics']]:[Personal Use '[I use AI to explore new ideas or topics out of curiosity']]])</f>
        <v>3</v>
      </c>
      <c r="U18" s="1" t="s">
        <v>37</v>
      </c>
    </row>
    <row r="19" spans="1:21" ht="22.5" customHeight="1" x14ac:dyDescent="0.25">
      <c r="A19" s="1">
        <v>4</v>
      </c>
      <c r="B19" s="1">
        <v>4</v>
      </c>
      <c r="C19" s="1">
        <v>5</v>
      </c>
      <c r="D19" s="1">
        <v>5</v>
      </c>
      <c r="E19" s="1">
        <f>AVERAGE(Form_Responses3[[#This Row],[AI Usage '[I regularly use AI tools for academic purposes']]:[AI Usage '[I feel dependent on AI tools']]])</f>
        <v>4.5</v>
      </c>
      <c r="F19" s="1">
        <v>4</v>
      </c>
      <c r="G19" s="1">
        <v>4</v>
      </c>
      <c r="H19" s="1">
        <v>5</v>
      </c>
      <c r="I19" s="1">
        <v>4</v>
      </c>
      <c r="J19" s="1">
        <f>AVERAGE(Form_Responses3[[#This Row],[Problem Solving Skills '[I am able to solve problems without using AI']  ]:[Problem Solving Skills '[I feel less confident solving problems without AI'] ]])</f>
        <v>4.25</v>
      </c>
      <c r="K19" s="1">
        <v>4</v>
      </c>
      <c r="L19" s="1">
        <v>4</v>
      </c>
      <c r="M19" s="1">
        <v>5</v>
      </c>
      <c r="N19" s="1">
        <v>2</v>
      </c>
      <c r="O19" s="1">
        <f>AVERAGE(Form_Responses3[[#This Row],[Critical Thinking '[I verify the accuracy of AI-generated responses'] ]:[Critical Thinking '[AI reduces my ability to think critically'] ]])</f>
        <v>3.75</v>
      </c>
      <c r="P19" s="1">
        <v>4</v>
      </c>
      <c r="Q19" s="1">
        <v>3</v>
      </c>
      <c r="R19" s="1">
        <v>4</v>
      </c>
      <c r="S19" s="1">
        <v>5</v>
      </c>
      <c r="T19" s="1">
        <f>AVERAGE(Form_Responses3[[#This Row],[Personal Use '[I use AI tools for personal purposes beyond academics']]:[Personal Use '[I use AI to explore new ideas or topics out of curiosity']]])</f>
        <v>4</v>
      </c>
      <c r="U19" s="1" t="s">
        <v>38</v>
      </c>
    </row>
    <row r="20" spans="1:21" ht="22.5" customHeight="1" x14ac:dyDescent="0.25">
      <c r="A20" s="1">
        <v>4</v>
      </c>
      <c r="B20" s="1">
        <v>4</v>
      </c>
      <c r="C20" s="1">
        <v>4</v>
      </c>
      <c r="D20" s="1">
        <v>4</v>
      </c>
      <c r="E20" s="1">
        <f>AVERAGE(Form_Responses3[[#This Row],[AI Usage '[I regularly use AI tools for academic purposes']]:[AI Usage '[I feel dependent on AI tools']]])</f>
        <v>4</v>
      </c>
      <c r="F20" s="1">
        <v>3</v>
      </c>
      <c r="G20" s="1">
        <v>5</v>
      </c>
      <c r="H20" s="1">
        <v>2</v>
      </c>
      <c r="I20" s="1">
        <v>2</v>
      </c>
      <c r="J20" s="1">
        <f>AVERAGE(Form_Responses3[[#This Row],[Problem Solving Skills '[I am able to solve problems without using AI']  ]:[Problem Solving Skills '[I feel less confident solving problems without AI'] ]])</f>
        <v>3</v>
      </c>
      <c r="K20" s="1">
        <v>2</v>
      </c>
      <c r="L20" s="1">
        <v>3</v>
      </c>
      <c r="M20" s="1">
        <v>3</v>
      </c>
      <c r="N20" s="1">
        <v>4</v>
      </c>
      <c r="O20" s="1">
        <f>AVERAGE(Form_Responses3[[#This Row],[Critical Thinking '[I verify the accuracy of AI-generated responses'] ]:[Critical Thinking '[AI reduces my ability to think critically'] ]])</f>
        <v>3</v>
      </c>
      <c r="P20" s="1">
        <v>4</v>
      </c>
      <c r="Q20" s="1">
        <v>5</v>
      </c>
      <c r="R20" s="1">
        <v>5</v>
      </c>
      <c r="S20" s="1">
        <v>4</v>
      </c>
      <c r="T20" s="1">
        <f>AVERAGE(Form_Responses3[[#This Row],[Personal Use '[I use AI tools for personal purposes beyond academics']]:[Personal Use '[I use AI to explore new ideas or topics out of curiosity']]])</f>
        <v>4.5</v>
      </c>
      <c r="U20" s="1" t="s">
        <v>39</v>
      </c>
    </row>
    <row r="21" spans="1:21" ht="22.5" customHeight="1" x14ac:dyDescent="0.25">
      <c r="A21" s="1">
        <v>5</v>
      </c>
      <c r="B21" s="1">
        <v>4</v>
      </c>
      <c r="C21" s="1">
        <v>5</v>
      </c>
      <c r="D21" s="1">
        <v>4</v>
      </c>
      <c r="E21" s="1">
        <f>AVERAGE(Form_Responses3[[#This Row],[AI Usage '[I regularly use AI tools for academic purposes']]:[AI Usage '[I feel dependent on AI tools']]])</f>
        <v>4.5</v>
      </c>
      <c r="F21" s="1">
        <v>4</v>
      </c>
      <c r="G21" s="1">
        <v>4</v>
      </c>
      <c r="H21" s="1">
        <v>4</v>
      </c>
      <c r="I21" s="1">
        <v>3</v>
      </c>
      <c r="J21" s="1">
        <f>AVERAGE(Form_Responses3[[#This Row],[Problem Solving Skills '[I am able to solve problems without using AI']  ]:[Problem Solving Skills '[I feel less confident solving problems without AI'] ]])</f>
        <v>3.75</v>
      </c>
      <c r="K21" s="1">
        <v>4</v>
      </c>
      <c r="L21" s="1">
        <v>4</v>
      </c>
      <c r="M21" s="1">
        <v>4</v>
      </c>
      <c r="N21" s="1">
        <v>2</v>
      </c>
      <c r="O21" s="1">
        <f>AVERAGE(Form_Responses3[[#This Row],[Critical Thinking '[I verify the accuracy of AI-generated responses'] ]:[Critical Thinking '[AI reduces my ability to think critically'] ]])</f>
        <v>3.5</v>
      </c>
      <c r="P21" s="1">
        <v>4</v>
      </c>
      <c r="Q21" s="1">
        <v>5</v>
      </c>
      <c r="R21" s="1">
        <v>4</v>
      </c>
      <c r="S21" s="1">
        <v>4</v>
      </c>
      <c r="T21" s="1">
        <f>AVERAGE(Form_Responses3[[#This Row],[Personal Use '[I use AI tools for personal purposes beyond academics']]:[Personal Use '[I use AI to explore new ideas or topics out of curiosity']]])</f>
        <v>4.25</v>
      </c>
      <c r="U21" s="1" t="s">
        <v>40</v>
      </c>
    </row>
    <row r="22" spans="1:21" ht="22.5" customHeight="1" x14ac:dyDescent="0.25">
      <c r="A22" s="1">
        <v>5</v>
      </c>
      <c r="B22" s="1">
        <v>5</v>
      </c>
      <c r="C22" s="1">
        <v>5</v>
      </c>
      <c r="D22" s="1">
        <v>5</v>
      </c>
      <c r="E22" s="1">
        <f>AVERAGE(Form_Responses3[[#This Row],[AI Usage '[I regularly use AI tools for academic purposes']]:[AI Usage '[I feel dependent on AI tools']]])</f>
        <v>5</v>
      </c>
      <c r="F22" s="1">
        <v>5</v>
      </c>
      <c r="G22" s="1">
        <v>5</v>
      </c>
      <c r="H22" s="1">
        <v>2</v>
      </c>
      <c r="I22" s="1">
        <v>2</v>
      </c>
      <c r="J22" s="1">
        <f>AVERAGE(Form_Responses3[[#This Row],[Problem Solving Skills '[I am able to solve problems without using AI']  ]:[Problem Solving Skills '[I feel less confident solving problems without AI'] ]])</f>
        <v>3.5</v>
      </c>
      <c r="K22" s="1">
        <v>2</v>
      </c>
      <c r="L22" s="1">
        <v>2</v>
      </c>
      <c r="M22" s="1">
        <v>3</v>
      </c>
      <c r="N22" s="1">
        <v>4</v>
      </c>
      <c r="O22" s="1">
        <f>AVERAGE(Form_Responses3[[#This Row],[Critical Thinking '[I verify the accuracy of AI-generated responses'] ]:[Critical Thinking '[AI reduces my ability to think critically'] ]])</f>
        <v>2.75</v>
      </c>
      <c r="P22" s="1">
        <v>5</v>
      </c>
      <c r="Q22" s="1">
        <v>5</v>
      </c>
      <c r="R22" s="1">
        <v>2</v>
      </c>
      <c r="S22" s="1">
        <v>5</v>
      </c>
      <c r="T22" s="1">
        <f>AVERAGE(Form_Responses3[[#This Row],[Personal Use '[I use AI tools for personal purposes beyond academics']]:[Personal Use '[I use AI to explore new ideas or topics out of curiosity']]])</f>
        <v>4.25</v>
      </c>
      <c r="U22" s="1" t="s">
        <v>41</v>
      </c>
    </row>
    <row r="23" spans="1:21" ht="22.5" customHeight="1" x14ac:dyDescent="0.25">
      <c r="A23" s="1">
        <v>4</v>
      </c>
      <c r="B23" s="1">
        <v>4</v>
      </c>
      <c r="C23" s="1">
        <v>4</v>
      </c>
      <c r="D23" s="1">
        <v>4</v>
      </c>
      <c r="E23" s="1">
        <f>AVERAGE(Form_Responses3[[#This Row],[AI Usage '[I regularly use AI tools for academic purposes']]:[AI Usage '[I feel dependent on AI tools']]])</f>
        <v>4</v>
      </c>
      <c r="F23" s="1">
        <v>3</v>
      </c>
      <c r="G23" s="1">
        <v>4</v>
      </c>
      <c r="H23" s="1">
        <v>4</v>
      </c>
      <c r="I23" s="1">
        <v>2</v>
      </c>
      <c r="J23" s="1">
        <f>AVERAGE(Form_Responses3[[#This Row],[Problem Solving Skills '[I am able to solve problems without using AI']  ]:[Problem Solving Skills '[I feel less confident solving problems without AI'] ]])</f>
        <v>3.25</v>
      </c>
      <c r="K23" s="1">
        <v>3</v>
      </c>
      <c r="L23" s="1">
        <v>3</v>
      </c>
      <c r="M23" s="1">
        <v>4</v>
      </c>
      <c r="N23" s="1">
        <v>1</v>
      </c>
      <c r="O23" s="1">
        <f>AVERAGE(Form_Responses3[[#This Row],[Critical Thinking '[I verify the accuracy of AI-generated responses'] ]:[Critical Thinking '[AI reduces my ability to think critically'] ]])</f>
        <v>2.75</v>
      </c>
      <c r="P23" s="1">
        <v>5</v>
      </c>
      <c r="Q23" s="1">
        <v>5</v>
      </c>
      <c r="R23" s="1">
        <v>5</v>
      </c>
      <c r="S23" s="1">
        <v>5</v>
      </c>
      <c r="T23" s="1">
        <f>AVERAGE(Form_Responses3[[#This Row],[Personal Use '[I use AI tools for personal purposes beyond academics']]:[Personal Use '[I use AI to explore new ideas or topics out of curiosity']]])</f>
        <v>5</v>
      </c>
      <c r="U23" s="1" t="s">
        <v>42</v>
      </c>
    </row>
    <row r="24" spans="1:21" ht="22.5" customHeight="1" x14ac:dyDescent="0.25">
      <c r="A24" s="1">
        <v>5</v>
      </c>
      <c r="B24" s="1">
        <v>4</v>
      </c>
      <c r="C24" s="1">
        <v>5</v>
      </c>
      <c r="D24" s="1">
        <v>3</v>
      </c>
      <c r="E24" s="1">
        <f>AVERAGE(Form_Responses3[[#This Row],[AI Usage '[I regularly use AI tools for academic purposes']]:[AI Usage '[I feel dependent on AI tools']]])</f>
        <v>4.25</v>
      </c>
      <c r="F24" s="1">
        <v>2</v>
      </c>
      <c r="G24" s="1">
        <v>4</v>
      </c>
      <c r="H24" s="1">
        <v>5</v>
      </c>
      <c r="I24" s="1">
        <v>3</v>
      </c>
      <c r="J24" s="1">
        <f>AVERAGE(Form_Responses3[[#This Row],[Problem Solving Skills '[I am able to solve problems without using AI']  ]:[Problem Solving Skills '[I feel less confident solving problems without AI'] ]])</f>
        <v>3.5</v>
      </c>
      <c r="K24" s="1">
        <v>4</v>
      </c>
      <c r="L24" s="1">
        <v>4</v>
      </c>
      <c r="M24" s="1">
        <v>4</v>
      </c>
      <c r="N24" s="1">
        <v>2</v>
      </c>
      <c r="O24" s="1">
        <f>AVERAGE(Form_Responses3[[#This Row],[Critical Thinking '[I verify the accuracy of AI-generated responses'] ]:[Critical Thinking '[AI reduces my ability to think critically'] ]])</f>
        <v>3.5</v>
      </c>
      <c r="P24" s="1">
        <v>3</v>
      </c>
      <c r="Q24" s="1">
        <v>4</v>
      </c>
      <c r="R24" s="1">
        <v>4</v>
      </c>
      <c r="S24" s="1">
        <v>5</v>
      </c>
      <c r="T24" s="1">
        <f>AVERAGE(Form_Responses3[[#This Row],[Personal Use '[I use AI tools for personal purposes beyond academics']]:[Personal Use '[I use AI to explore new ideas or topics out of curiosity']]])</f>
        <v>4</v>
      </c>
      <c r="U24" s="1" t="s">
        <v>43</v>
      </c>
    </row>
    <row r="25" spans="1:21" ht="22.5" customHeight="1" x14ac:dyDescent="0.25">
      <c r="A25" s="1">
        <v>4</v>
      </c>
      <c r="B25" s="1">
        <v>4</v>
      </c>
      <c r="C25" s="1">
        <v>3</v>
      </c>
      <c r="D25" s="1">
        <v>3</v>
      </c>
      <c r="E25" s="1">
        <f>AVERAGE(Form_Responses3[[#This Row],[AI Usage '[I regularly use AI tools for academic purposes']]:[AI Usage '[I feel dependent on AI tools']]])</f>
        <v>3.5</v>
      </c>
      <c r="F25" s="1">
        <v>4</v>
      </c>
      <c r="G25" s="1">
        <v>4</v>
      </c>
      <c r="H25" s="1">
        <v>4</v>
      </c>
      <c r="I25" s="1">
        <v>4</v>
      </c>
      <c r="J25" s="1">
        <f>AVERAGE(Form_Responses3[[#This Row],[Problem Solving Skills '[I am able to solve problems without using AI']  ]:[Problem Solving Skills '[I feel less confident solving problems without AI'] ]])</f>
        <v>4</v>
      </c>
      <c r="K25" s="1">
        <v>2</v>
      </c>
      <c r="L25" s="1">
        <v>4</v>
      </c>
      <c r="M25" s="1">
        <v>4</v>
      </c>
      <c r="N25" s="1">
        <v>3</v>
      </c>
      <c r="O25" s="1">
        <f>AVERAGE(Form_Responses3[[#This Row],[Critical Thinking '[I verify the accuracy of AI-generated responses'] ]:[Critical Thinking '[AI reduces my ability to think critically'] ]])</f>
        <v>3.25</v>
      </c>
      <c r="P25" s="1">
        <v>4</v>
      </c>
      <c r="Q25" s="1">
        <v>4</v>
      </c>
      <c r="R25" s="1">
        <v>4</v>
      </c>
      <c r="S25" s="1">
        <v>4</v>
      </c>
      <c r="T25" s="1">
        <f>AVERAGE(Form_Responses3[[#This Row],[Personal Use '[I use AI tools for personal purposes beyond academics']]:[Personal Use '[I use AI to explore new ideas or topics out of curiosity']]])</f>
        <v>4</v>
      </c>
      <c r="U25" s="1" t="s">
        <v>44</v>
      </c>
    </row>
    <row r="26" spans="1:21" ht="22.5" customHeight="1" x14ac:dyDescent="0.25">
      <c r="A26" s="1">
        <v>4</v>
      </c>
      <c r="B26" s="1">
        <v>5</v>
      </c>
      <c r="C26" s="1">
        <v>5</v>
      </c>
      <c r="D26" s="1">
        <v>5</v>
      </c>
      <c r="E26" s="1">
        <f>AVERAGE(Form_Responses3[[#This Row],[AI Usage '[I regularly use AI tools for academic purposes']]:[AI Usage '[I feel dependent on AI tools']]])</f>
        <v>4.75</v>
      </c>
      <c r="F26" s="1">
        <v>3</v>
      </c>
      <c r="G26" s="1">
        <v>5</v>
      </c>
      <c r="H26" s="1">
        <v>5</v>
      </c>
      <c r="I26" s="1">
        <v>2</v>
      </c>
      <c r="J26" s="1">
        <f>AVERAGE(Form_Responses3[[#This Row],[Problem Solving Skills '[I am able to solve problems without using AI']  ]:[Problem Solving Skills '[I feel less confident solving problems without AI'] ]])</f>
        <v>3.75</v>
      </c>
      <c r="K26" s="1">
        <v>4</v>
      </c>
      <c r="L26" s="1">
        <v>5</v>
      </c>
      <c r="M26" s="1">
        <v>5</v>
      </c>
      <c r="N26" s="1">
        <v>2</v>
      </c>
      <c r="O26" s="1">
        <f>AVERAGE(Form_Responses3[[#This Row],[Critical Thinking '[I verify the accuracy of AI-generated responses'] ]:[Critical Thinking '[AI reduces my ability to think critically'] ]])</f>
        <v>4</v>
      </c>
      <c r="P26" s="1">
        <v>5</v>
      </c>
      <c r="Q26" s="1">
        <v>5</v>
      </c>
      <c r="R26" s="1">
        <v>5</v>
      </c>
      <c r="S26" s="1">
        <v>5</v>
      </c>
      <c r="T26" s="1">
        <f>AVERAGE(Form_Responses3[[#This Row],[Personal Use '[I use AI tools for personal purposes beyond academics']]:[Personal Use '[I use AI to explore new ideas or topics out of curiosity']]])</f>
        <v>5</v>
      </c>
      <c r="U26" s="1" t="s">
        <v>45</v>
      </c>
    </row>
    <row r="27" spans="1:21" ht="22.5" customHeight="1" x14ac:dyDescent="0.25">
      <c r="A27" s="1">
        <v>4</v>
      </c>
      <c r="B27" s="1">
        <v>3</v>
      </c>
      <c r="C27" s="1">
        <v>4</v>
      </c>
      <c r="D27" s="1">
        <v>4</v>
      </c>
      <c r="E27" s="1">
        <f>AVERAGE(Form_Responses3[[#This Row],[AI Usage '[I regularly use AI tools for academic purposes']]:[AI Usage '[I feel dependent on AI tools']]])</f>
        <v>3.75</v>
      </c>
      <c r="F27" s="1">
        <v>3</v>
      </c>
      <c r="G27" s="1">
        <v>4</v>
      </c>
      <c r="H27" s="1">
        <v>4</v>
      </c>
      <c r="I27" s="1">
        <v>4</v>
      </c>
      <c r="J27" s="1">
        <f>AVERAGE(Form_Responses3[[#This Row],[Problem Solving Skills '[I am able to solve problems without using AI']  ]:[Problem Solving Skills '[I feel less confident solving problems without AI'] ]])</f>
        <v>3.75</v>
      </c>
      <c r="K27" s="1">
        <v>4</v>
      </c>
      <c r="L27" s="1">
        <v>4</v>
      </c>
      <c r="M27" s="1">
        <v>4</v>
      </c>
      <c r="N27" s="1">
        <v>3</v>
      </c>
      <c r="O27" s="1">
        <f>AVERAGE(Form_Responses3[[#This Row],[Critical Thinking '[I verify the accuracy of AI-generated responses'] ]:[Critical Thinking '[AI reduces my ability to think critically'] ]])</f>
        <v>3.75</v>
      </c>
      <c r="P27" s="1">
        <v>2</v>
      </c>
      <c r="Q27" s="1">
        <v>4</v>
      </c>
      <c r="R27" s="1">
        <v>3</v>
      </c>
      <c r="S27" s="1">
        <v>4</v>
      </c>
      <c r="T27" s="1">
        <f>AVERAGE(Form_Responses3[[#This Row],[Personal Use '[I use AI tools for personal purposes beyond academics']]:[Personal Use '[I use AI to explore new ideas or topics out of curiosity']]])</f>
        <v>3.25</v>
      </c>
      <c r="U27" s="1" t="s">
        <v>46</v>
      </c>
    </row>
    <row r="28" spans="1:21" ht="22.5" customHeight="1" x14ac:dyDescent="0.25">
      <c r="A28" s="1">
        <v>4</v>
      </c>
      <c r="B28" s="1">
        <v>3</v>
      </c>
      <c r="C28" s="1">
        <v>4</v>
      </c>
      <c r="D28" s="1">
        <v>3</v>
      </c>
      <c r="E28" s="1">
        <f>AVERAGE(Form_Responses3[[#This Row],[AI Usage '[I regularly use AI tools for academic purposes']]:[AI Usage '[I feel dependent on AI tools']]])</f>
        <v>3.5</v>
      </c>
      <c r="F28" s="1">
        <v>3</v>
      </c>
      <c r="G28" s="1">
        <v>4</v>
      </c>
      <c r="H28" s="1">
        <v>3</v>
      </c>
      <c r="I28" s="1">
        <v>4</v>
      </c>
      <c r="J28" s="1">
        <f>AVERAGE(Form_Responses3[[#This Row],[Problem Solving Skills '[I am able to solve problems without using AI']  ]:[Problem Solving Skills '[I feel less confident solving problems without AI'] ]])</f>
        <v>3.5</v>
      </c>
      <c r="K28" s="1">
        <v>3</v>
      </c>
      <c r="L28" s="1">
        <v>3</v>
      </c>
      <c r="M28" s="1">
        <v>3</v>
      </c>
      <c r="N28" s="1">
        <v>3</v>
      </c>
      <c r="O28" s="1">
        <f>AVERAGE(Form_Responses3[[#This Row],[Critical Thinking '[I verify the accuracy of AI-generated responses'] ]:[Critical Thinking '[AI reduces my ability to think critically'] ]])</f>
        <v>3</v>
      </c>
      <c r="P28" s="1">
        <v>4</v>
      </c>
      <c r="Q28" s="1">
        <v>3</v>
      </c>
      <c r="R28" s="1">
        <v>3</v>
      </c>
      <c r="S28" s="1">
        <v>4</v>
      </c>
      <c r="T28" s="1">
        <f>AVERAGE(Form_Responses3[[#This Row],[Personal Use '[I use AI tools for personal purposes beyond academics']]:[Personal Use '[I use AI to explore new ideas or topics out of curiosity']]])</f>
        <v>3.5</v>
      </c>
      <c r="U28" s="1" t="s">
        <v>47</v>
      </c>
    </row>
    <row r="29" spans="1:21" ht="22.5" customHeight="1" x14ac:dyDescent="0.25">
      <c r="A29" s="1">
        <v>5</v>
      </c>
      <c r="B29" s="1">
        <v>4</v>
      </c>
      <c r="C29" s="1">
        <v>3</v>
      </c>
      <c r="D29" s="1">
        <v>3</v>
      </c>
      <c r="E29" s="1">
        <f>AVERAGE(Form_Responses3[[#This Row],[AI Usage '[I regularly use AI tools for academic purposes']]:[AI Usage '[I feel dependent on AI tools']]])</f>
        <v>3.75</v>
      </c>
      <c r="F29" s="1">
        <v>2</v>
      </c>
      <c r="G29" s="1">
        <v>2</v>
      </c>
      <c r="H29" s="1">
        <v>1</v>
      </c>
      <c r="I29" s="1">
        <v>4</v>
      </c>
      <c r="J29" s="1">
        <f>AVERAGE(Form_Responses3[[#This Row],[Problem Solving Skills '[I am able to solve problems without using AI']  ]:[Problem Solving Skills '[I feel less confident solving problems without AI'] ]])</f>
        <v>2.25</v>
      </c>
      <c r="K29" s="1">
        <v>2</v>
      </c>
      <c r="L29" s="1">
        <v>1</v>
      </c>
      <c r="M29" s="1">
        <v>2</v>
      </c>
      <c r="N29" s="1">
        <v>2</v>
      </c>
      <c r="O29" s="1">
        <f>AVERAGE(Form_Responses3[[#This Row],[Critical Thinking '[I verify the accuracy of AI-generated responses'] ]:[Critical Thinking '[AI reduces my ability to think critically'] ]])</f>
        <v>1.75</v>
      </c>
      <c r="P29" s="1">
        <v>2</v>
      </c>
      <c r="Q29" s="1">
        <v>1</v>
      </c>
      <c r="R29" s="1">
        <v>4</v>
      </c>
      <c r="S29" s="1">
        <v>5</v>
      </c>
      <c r="T29" s="1">
        <f>AVERAGE(Form_Responses3[[#This Row],[Personal Use '[I use AI tools for personal purposes beyond academics']]:[Personal Use '[I use AI to explore new ideas or topics out of curiosity']]])</f>
        <v>3</v>
      </c>
      <c r="U29" s="1" t="s">
        <v>48</v>
      </c>
    </row>
    <row r="30" spans="1:21" ht="22.5" customHeight="1" x14ac:dyDescent="0.25">
      <c r="A30" s="1">
        <v>5</v>
      </c>
      <c r="B30" s="1">
        <v>5</v>
      </c>
      <c r="C30" s="1">
        <v>5</v>
      </c>
      <c r="D30" s="1">
        <v>5</v>
      </c>
      <c r="E30" s="1">
        <f>AVERAGE(Form_Responses3[[#This Row],[AI Usage '[I regularly use AI tools for academic purposes']]:[AI Usage '[I feel dependent on AI tools']]])</f>
        <v>5</v>
      </c>
      <c r="F30" s="1">
        <v>4</v>
      </c>
      <c r="G30" s="1">
        <v>4</v>
      </c>
      <c r="H30" s="1">
        <v>3</v>
      </c>
      <c r="I30" s="1">
        <v>2</v>
      </c>
      <c r="J30" s="1">
        <f>AVERAGE(Form_Responses3[[#This Row],[Problem Solving Skills '[I am able to solve problems without using AI']  ]:[Problem Solving Skills '[I feel less confident solving problems without AI'] ]])</f>
        <v>3.25</v>
      </c>
      <c r="K30" s="1">
        <v>1</v>
      </c>
      <c r="L30" s="1">
        <v>3</v>
      </c>
      <c r="M30" s="1">
        <v>3</v>
      </c>
      <c r="N30" s="1">
        <v>1</v>
      </c>
      <c r="O30" s="1">
        <f>AVERAGE(Form_Responses3[[#This Row],[Critical Thinking '[I verify the accuracy of AI-generated responses'] ]:[Critical Thinking '[AI reduces my ability to think critically'] ]])</f>
        <v>2</v>
      </c>
      <c r="P30" s="1">
        <v>5</v>
      </c>
      <c r="Q30" s="1">
        <v>3</v>
      </c>
      <c r="R30" s="1">
        <v>4</v>
      </c>
      <c r="S30" s="1">
        <v>5</v>
      </c>
      <c r="T30" s="1">
        <f>AVERAGE(Form_Responses3[[#This Row],[Personal Use '[I use AI tools for personal purposes beyond academics']]:[Personal Use '[I use AI to explore new ideas or topics out of curiosity']]])</f>
        <v>4.25</v>
      </c>
      <c r="U30" s="1" t="s">
        <v>49</v>
      </c>
    </row>
    <row r="31" spans="1:21" ht="22.5" customHeight="1" x14ac:dyDescent="0.25">
      <c r="A31" s="1">
        <v>3</v>
      </c>
      <c r="B31" s="1">
        <v>2</v>
      </c>
      <c r="C31" s="1">
        <v>4</v>
      </c>
      <c r="D31" s="1">
        <v>3</v>
      </c>
      <c r="E31" s="1">
        <f>AVERAGE(Form_Responses3[[#This Row],[AI Usage '[I regularly use AI tools for academic purposes']]:[AI Usage '[I feel dependent on AI tools']]])</f>
        <v>3</v>
      </c>
      <c r="F31" s="1">
        <v>4</v>
      </c>
      <c r="G31" s="1">
        <v>4</v>
      </c>
      <c r="H31" s="1">
        <v>3</v>
      </c>
      <c r="I31" s="1">
        <v>3</v>
      </c>
      <c r="J31" s="1">
        <f>AVERAGE(Form_Responses3[[#This Row],[Problem Solving Skills '[I am able to solve problems without using AI']  ]:[Problem Solving Skills '[I feel less confident solving problems without AI'] ]])</f>
        <v>3.5</v>
      </c>
      <c r="K31" s="1">
        <v>3</v>
      </c>
      <c r="L31" s="1">
        <v>3</v>
      </c>
      <c r="M31" s="1">
        <v>3</v>
      </c>
      <c r="N31" s="1">
        <v>4</v>
      </c>
      <c r="O31" s="1">
        <f>AVERAGE(Form_Responses3[[#This Row],[Critical Thinking '[I verify the accuracy of AI-generated responses'] ]:[Critical Thinking '[AI reduces my ability to think critically'] ]])</f>
        <v>3.25</v>
      </c>
      <c r="P31" s="1">
        <v>3</v>
      </c>
      <c r="Q31" s="1">
        <v>4</v>
      </c>
      <c r="R31" s="1">
        <v>4</v>
      </c>
      <c r="S31" s="1">
        <v>4</v>
      </c>
      <c r="T31" s="1">
        <f>AVERAGE(Form_Responses3[[#This Row],[Personal Use '[I use AI tools for personal purposes beyond academics']]:[Personal Use '[I use AI to explore new ideas or topics out of curiosity']]])</f>
        <v>3.75</v>
      </c>
      <c r="U31" s="1" t="s">
        <v>50</v>
      </c>
    </row>
    <row r="32" spans="1:21" ht="22.5" customHeight="1" x14ac:dyDescent="0.25">
      <c r="A32" s="1">
        <v>4</v>
      </c>
      <c r="B32" s="1">
        <v>4</v>
      </c>
      <c r="C32" s="1">
        <v>2</v>
      </c>
      <c r="D32" s="1">
        <v>3</v>
      </c>
      <c r="E32" s="1">
        <f>AVERAGE(Form_Responses3[[#This Row],[AI Usage '[I regularly use AI tools for academic purposes']]:[AI Usage '[I feel dependent on AI tools']]])</f>
        <v>3.25</v>
      </c>
      <c r="F32" s="1">
        <v>4</v>
      </c>
      <c r="G32" s="1">
        <v>2</v>
      </c>
      <c r="H32" s="1">
        <v>4</v>
      </c>
      <c r="I32" s="1">
        <v>4</v>
      </c>
      <c r="J32" s="1">
        <f>AVERAGE(Form_Responses3[[#This Row],[Problem Solving Skills '[I am able to solve problems without using AI']  ]:[Problem Solving Skills '[I feel less confident solving problems without AI'] ]])</f>
        <v>3.5</v>
      </c>
      <c r="K32" s="1">
        <v>4</v>
      </c>
      <c r="L32" s="1">
        <v>4</v>
      </c>
      <c r="M32" s="1">
        <v>4</v>
      </c>
      <c r="N32" s="1">
        <v>4</v>
      </c>
      <c r="O32" s="1">
        <f>AVERAGE(Form_Responses3[[#This Row],[Critical Thinking '[I verify the accuracy of AI-generated responses'] ]:[Critical Thinking '[AI reduces my ability to think critically'] ]])</f>
        <v>4</v>
      </c>
      <c r="P32" s="1">
        <v>2</v>
      </c>
      <c r="Q32" s="1">
        <v>2</v>
      </c>
      <c r="R32" s="1">
        <v>4</v>
      </c>
      <c r="S32" s="1">
        <v>2</v>
      </c>
      <c r="T32" s="1">
        <f>AVERAGE(Form_Responses3[[#This Row],[Personal Use '[I use AI tools for personal purposes beyond academics']]:[Personal Use '[I use AI to explore new ideas or topics out of curiosity']]])</f>
        <v>2.5</v>
      </c>
      <c r="U32" s="1" t="s">
        <v>51</v>
      </c>
    </row>
    <row r="33" spans="1:21" ht="22.5" customHeight="1" x14ac:dyDescent="0.25">
      <c r="A33" s="1">
        <v>5</v>
      </c>
      <c r="B33" s="1">
        <v>4</v>
      </c>
      <c r="C33" s="1">
        <v>5</v>
      </c>
      <c r="D33" s="1">
        <v>4</v>
      </c>
      <c r="E33" s="1">
        <f>AVERAGE(Form_Responses3[[#This Row],[AI Usage '[I regularly use AI tools for academic purposes']]:[AI Usage '[I feel dependent on AI tools']]])</f>
        <v>4.5</v>
      </c>
      <c r="F33" s="1">
        <v>3</v>
      </c>
      <c r="G33" s="1">
        <v>4</v>
      </c>
      <c r="H33" s="1">
        <v>5</v>
      </c>
      <c r="I33" s="1">
        <v>1</v>
      </c>
      <c r="J33" s="1">
        <f>AVERAGE(Form_Responses3[[#This Row],[Problem Solving Skills '[I am able to solve problems without using AI']  ]:[Problem Solving Skills '[I feel less confident solving problems without AI'] ]])</f>
        <v>3.25</v>
      </c>
      <c r="K33" s="1">
        <v>5</v>
      </c>
      <c r="L33" s="1">
        <v>5</v>
      </c>
      <c r="M33" s="1">
        <v>5</v>
      </c>
      <c r="N33" s="1">
        <v>2</v>
      </c>
      <c r="O33" s="1">
        <f>AVERAGE(Form_Responses3[[#This Row],[Critical Thinking '[I verify the accuracy of AI-generated responses'] ]:[Critical Thinking '[AI reduces my ability to think critically'] ]])</f>
        <v>4.25</v>
      </c>
      <c r="P33" s="1">
        <v>5</v>
      </c>
      <c r="Q33" s="1">
        <v>5</v>
      </c>
      <c r="R33" s="1">
        <v>5</v>
      </c>
      <c r="S33" s="1">
        <v>5</v>
      </c>
      <c r="T33" s="1">
        <f>AVERAGE(Form_Responses3[[#This Row],[Personal Use '[I use AI tools for personal purposes beyond academics']]:[Personal Use '[I use AI to explore new ideas or topics out of curiosity']]])</f>
        <v>5</v>
      </c>
      <c r="U33" s="1" t="s">
        <v>52</v>
      </c>
    </row>
    <row r="34" spans="1:21" ht="22.5" customHeight="1" x14ac:dyDescent="0.25">
      <c r="A34" s="1">
        <v>1</v>
      </c>
      <c r="B34" s="1">
        <v>1</v>
      </c>
      <c r="C34" s="1">
        <v>1</v>
      </c>
      <c r="D34" s="1">
        <v>1</v>
      </c>
      <c r="E34" s="1">
        <f>AVERAGE(Form_Responses3[[#This Row],[AI Usage '[I regularly use AI tools for academic purposes']]:[AI Usage '[I feel dependent on AI tools']]])</f>
        <v>1</v>
      </c>
      <c r="F34" s="1">
        <v>4</v>
      </c>
      <c r="G34" s="1">
        <v>1</v>
      </c>
      <c r="H34" s="1">
        <v>5</v>
      </c>
      <c r="I34" s="1">
        <v>4</v>
      </c>
      <c r="J34" s="1">
        <f>AVERAGE(Form_Responses3[[#This Row],[Problem Solving Skills '[I am able to solve problems without using AI']  ]:[Problem Solving Skills '[I feel less confident solving problems without AI'] ]])</f>
        <v>3.5</v>
      </c>
      <c r="K34" s="1">
        <v>5</v>
      </c>
      <c r="L34" s="1">
        <v>5</v>
      </c>
      <c r="M34" s="1">
        <v>5</v>
      </c>
      <c r="N34" s="1">
        <v>5</v>
      </c>
      <c r="O34" s="1">
        <f>AVERAGE(Form_Responses3[[#This Row],[Critical Thinking '[I verify the accuracy of AI-generated responses'] ]:[Critical Thinking '[AI reduces my ability to think critically'] ]])</f>
        <v>5</v>
      </c>
      <c r="P34" s="1">
        <v>1</v>
      </c>
      <c r="Q34" s="1">
        <v>1</v>
      </c>
      <c r="R34" s="1">
        <v>1</v>
      </c>
      <c r="S34" s="1">
        <v>1</v>
      </c>
      <c r="T34" s="1">
        <f>AVERAGE(Form_Responses3[[#This Row],[Personal Use '[I use AI tools for personal purposes beyond academics']]:[Personal Use '[I use AI to explore new ideas or topics out of curiosity']]])</f>
        <v>1</v>
      </c>
      <c r="U34" s="1" t="s">
        <v>53</v>
      </c>
    </row>
    <row r="35" spans="1:21" ht="22.5" customHeight="1" x14ac:dyDescent="0.25">
      <c r="A35" s="1">
        <v>4</v>
      </c>
      <c r="B35" s="1">
        <v>2</v>
      </c>
      <c r="C35" s="1">
        <v>5</v>
      </c>
      <c r="D35" s="1">
        <v>1</v>
      </c>
      <c r="E35" s="1">
        <f>AVERAGE(Form_Responses3[[#This Row],[AI Usage '[I regularly use AI tools for academic purposes']]:[AI Usage '[I feel dependent on AI tools']]])</f>
        <v>3</v>
      </c>
      <c r="F35" s="1">
        <v>4</v>
      </c>
      <c r="G35" s="1">
        <v>4</v>
      </c>
      <c r="H35" s="1">
        <v>4</v>
      </c>
      <c r="I35" s="1">
        <v>2</v>
      </c>
      <c r="J35" s="1">
        <f>AVERAGE(Form_Responses3[[#This Row],[Problem Solving Skills '[I am able to solve problems without using AI']  ]:[Problem Solving Skills '[I feel less confident solving problems without AI'] ]])</f>
        <v>3.5</v>
      </c>
      <c r="K35" s="1">
        <v>4</v>
      </c>
      <c r="L35" s="1">
        <v>2</v>
      </c>
      <c r="M35" s="1">
        <v>3</v>
      </c>
      <c r="N35" s="1">
        <v>1</v>
      </c>
      <c r="O35" s="1">
        <f>AVERAGE(Form_Responses3[[#This Row],[Critical Thinking '[I verify the accuracy of AI-generated responses'] ]:[Critical Thinking '[AI reduces my ability to think critically'] ]])</f>
        <v>2.5</v>
      </c>
      <c r="P35" s="1">
        <v>2</v>
      </c>
      <c r="Q35" s="1">
        <v>3</v>
      </c>
      <c r="R35" s="1">
        <v>4</v>
      </c>
      <c r="S35" s="1">
        <v>5</v>
      </c>
      <c r="T35" s="1">
        <f>AVERAGE(Form_Responses3[[#This Row],[Personal Use '[I use AI tools for personal purposes beyond academics']]:[Personal Use '[I use AI to explore new ideas or topics out of curiosity']]])</f>
        <v>3.5</v>
      </c>
      <c r="U35" s="1" t="s">
        <v>54</v>
      </c>
    </row>
    <row r="36" spans="1:21" ht="22.5" customHeight="1" x14ac:dyDescent="0.25">
      <c r="A36" s="1">
        <v>2</v>
      </c>
      <c r="B36" s="1">
        <v>3</v>
      </c>
      <c r="C36" s="1">
        <v>4</v>
      </c>
      <c r="D36" s="1">
        <v>3</v>
      </c>
      <c r="E36" s="1">
        <f>AVERAGE(Form_Responses3[[#This Row],[AI Usage '[I regularly use AI tools for academic purposes']]:[AI Usage '[I feel dependent on AI tools']]])</f>
        <v>3</v>
      </c>
      <c r="F36" s="1">
        <v>2</v>
      </c>
      <c r="G36" s="1">
        <v>2</v>
      </c>
      <c r="H36" s="1">
        <v>2</v>
      </c>
      <c r="I36" s="1">
        <v>2</v>
      </c>
      <c r="J36" s="1">
        <f>AVERAGE(Form_Responses3[[#This Row],[Problem Solving Skills '[I am able to solve problems without using AI']  ]:[Problem Solving Skills '[I feel less confident solving problems without AI'] ]])</f>
        <v>2</v>
      </c>
      <c r="K36" s="1">
        <v>2</v>
      </c>
      <c r="L36" s="1">
        <v>3</v>
      </c>
      <c r="M36" s="1">
        <v>4</v>
      </c>
      <c r="N36" s="1">
        <v>3</v>
      </c>
      <c r="O36" s="1">
        <f>AVERAGE(Form_Responses3[[#This Row],[Critical Thinking '[I verify the accuracy of AI-generated responses'] ]:[Critical Thinking '[AI reduces my ability to think critically'] ]])</f>
        <v>3</v>
      </c>
      <c r="P36" s="1">
        <v>2</v>
      </c>
      <c r="Q36" s="1">
        <v>1</v>
      </c>
      <c r="R36" s="1">
        <v>2</v>
      </c>
      <c r="S36" s="1">
        <v>2</v>
      </c>
      <c r="T36" s="1">
        <f>AVERAGE(Form_Responses3[[#This Row],[Personal Use '[I use AI tools for personal purposes beyond academics']]:[Personal Use '[I use AI to explore new ideas or topics out of curiosity']]])</f>
        <v>1.75</v>
      </c>
      <c r="U36" s="1" t="s">
        <v>55</v>
      </c>
    </row>
    <row r="37" spans="1:21" ht="22.5" customHeight="1" x14ac:dyDescent="0.25">
      <c r="A37" s="1">
        <v>4</v>
      </c>
      <c r="B37" s="1">
        <v>4</v>
      </c>
      <c r="C37" s="1">
        <v>5</v>
      </c>
      <c r="D37" s="1">
        <v>3</v>
      </c>
      <c r="E37" s="1">
        <f>AVERAGE(Form_Responses3[[#This Row],[AI Usage '[I regularly use AI tools for academic purposes']]:[AI Usage '[I feel dependent on AI tools']]])</f>
        <v>4</v>
      </c>
      <c r="F37" s="1">
        <v>3</v>
      </c>
      <c r="G37" s="1">
        <v>4</v>
      </c>
      <c r="H37" s="1">
        <v>3</v>
      </c>
      <c r="I37" s="1">
        <v>4</v>
      </c>
      <c r="J37" s="1">
        <f>AVERAGE(Form_Responses3[[#This Row],[Problem Solving Skills '[I am able to solve problems without using AI']  ]:[Problem Solving Skills '[I feel less confident solving problems without AI'] ]])</f>
        <v>3.5</v>
      </c>
      <c r="K37" s="1">
        <v>3</v>
      </c>
      <c r="L37" s="1">
        <v>4</v>
      </c>
      <c r="M37" s="1">
        <v>3</v>
      </c>
      <c r="N37" s="1">
        <v>3</v>
      </c>
      <c r="O37" s="1">
        <f>AVERAGE(Form_Responses3[[#This Row],[Critical Thinking '[I verify the accuracy of AI-generated responses'] ]:[Critical Thinking '[AI reduces my ability to think critically'] ]])</f>
        <v>3.25</v>
      </c>
      <c r="P37" s="1">
        <v>2</v>
      </c>
      <c r="Q37" s="1">
        <v>3</v>
      </c>
      <c r="R37" s="1">
        <v>2</v>
      </c>
      <c r="S37" s="1">
        <v>2</v>
      </c>
      <c r="T37" s="1">
        <f>AVERAGE(Form_Responses3[[#This Row],[Personal Use '[I use AI tools for personal purposes beyond academics']]:[Personal Use '[I use AI to explore new ideas or topics out of curiosity']]])</f>
        <v>2.25</v>
      </c>
      <c r="U37" s="1" t="s">
        <v>56</v>
      </c>
    </row>
    <row r="38" spans="1:21" ht="22.5" customHeight="1" x14ac:dyDescent="0.25">
      <c r="A38" s="1">
        <v>4</v>
      </c>
      <c r="B38" s="1">
        <v>4</v>
      </c>
      <c r="C38" s="1">
        <v>4</v>
      </c>
      <c r="D38" s="1">
        <v>4</v>
      </c>
      <c r="E38" s="1">
        <f>AVERAGE(Form_Responses3[[#This Row],[AI Usage '[I regularly use AI tools for academic purposes']]:[AI Usage '[I feel dependent on AI tools']]])</f>
        <v>4</v>
      </c>
      <c r="F38" s="1">
        <v>5</v>
      </c>
      <c r="G38" s="1">
        <v>4</v>
      </c>
      <c r="H38" s="1">
        <v>5</v>
      </c>
      <c r="I38" s="1">
        <v>2</v>
      </c>
      <c r="J38" s="1">
        <f>AVERAGE(Form_Responses3[[#This Row],[Problem Solving Skills '[I am able to solve problems without using AI']  ]:[Problem Solving Skills '[I feel less confident solving problems without AI'] ]])</f>
        <v>4</v>
      </c>
      <c r="K38" s="1">
        <v>5</v>
      </c>
      <c r="L38" s="1">
        <v>4</v>
      </c>
      <c r="M38" s="1">
        <v>4</v>
      </c>
      <c r="N38" s="1">
        <v>1</v>
      </c>
      <c r="O38" s="1">
        <f>AVERAGE(Form_Responses3[[#This Row],[Critical Thinking '[I verify the accuracy of AI-generated responses'] ]:[Critical Thinking '[AI reduces my ability to think critically'] ]])</f>
        <v>3.5</v>
      </c>
      <c r="P38" s="1">
        <v>5</v>
      </c>
      <c r="Q38" s="1">
        <v>5</v>
      </c>
      <c r="R38" s="1">
        <v>5</v>
      </c>
      <c r="S38" s="1">
        <v>5</v>
      </c>
      <c r="T38" s="1">
        <f>AVERAGE(Form_Responses3[[#This Row],[Personal Use '[I use AI tools for personal purposes beyond academics']]:[Personal Use '[I use AI to explore new ideas or topics out of curiosity']]])</f>
        <v>5</v>
      </c>
      <c r="U38" s="1" t="s">
        <v>37</v>
      </c>
    </row>
    <row r="39" spans="1:21" ht="22.5" customHeight="1" x14ac:dyDescent="0.25">
      <c r="A39" s="1">
        <v>3</v>
      </c>
      <c r="B39" s="1">
        <v>3</v>
      </c>
      <c r="C39" s="1">
        <v>3</v>
      </c>
      <c r="D39" s="1">
        <v>3</v>
      </c>
      <c r="E39" s="1">
        <f>AVERAGE(Form_Responses3[[#This Row],[AI Usage '[I regularly use AI tools for academic purposes']]:[AI Usage '[I feel dependent on AI tools']]])</f>
        <v>3</v>
      </c>
      <c r="F39" s="1">
        <v>3</v>
      </c>
      <c r="G39" s="1">
        <v>3</v>
      </c>
      <c r="H39" s="1">
        <v>3</v>
      </c>
      <c r="I39" s="1">
        <v>3</v>
      </c>
      <c r="J39" s="1">
        <f>AVERAGE(Form_Responses3[[#This Row],[Problem Solving Skills '[I am able to solve problems without using AI']  ]:[Problem Solving Skills '[I feel less confident solving problems without AI'] ]])</f>
        <v>3</v>
      </c>
      <c r="K39" s="1">
        <v>2</v>
      </c>
      <c r="L39" s="1">
        <v>2</v>
      </c>
      <c r="M39" s="1">
        <v>2</v>
      </c>
      <c r="N39" s="1">
        <v>4</v>
      </c>
      <c r="O39" s="1">
        <f>AVERAGE(Form_Responses3[[#This Row],[Critical Thinking '[I verify the accuracy of AI-generated responses'] ]:[Critical Thinking '[AI reduces my ability to think critically'] ]])</f>
        <v>2.5</v>
      </c>
      <c r="P39" s="1">
        <v>2</v>
      </c>
      <c r="Q39" s="1">
        <v>2</v>
      </c>
      <c r="R39" s="1">
        <v>2</v>
      </c>
      <c r="S39" s="1">
        <v>2</v>
      </c>
      <c r="T39" s="1">
        <f>AVERAGE(Form_Responses3[[#This Row],[Personal Use '[I use AI tools for personal purposes beyond academics']]:[Personal Use '[I use AI to explore new ideas or topics out of curiosity']]])</f>
        <v>2</v>
      </c>
      <c r="U39" s="1" t="s">
        <v>49</v>
      </c>
    </row>
    <row r="40" spans="1:21" ht="22.5" customHeight="1" x14ac:dyDescent="0.25">
      <c r="A40" s="1">
        <v>4</v>
      </c>
      <c r="B40" s="1">
        <v>3</v>
      </c>
      <c r="C40" s="1">
        <v>5</v>
      </c>
      <c r="D40" s="1">
        <v>3</v>
      </c>
      <c r="E40" s="1">
        <f>AVERAGE(Form_Responses3[[#This Row],[AI Usage '[I regularly use AI tools for academic purposes']]:[AI Usage '[I feel dependent on AI tools']]])</f>
        <v>3.75</v>
      </c>
      <c r="F40" s="1">
        <v>3</v>
      </c>
      <c r="G40" s="1">
        <v>3</v>
      </c>
      <c r="H40" s="1">
        <v>5</v>
      </c>
      <c r="I40" s="1">
        <v>5</v>
      </c>
      <c r="J40" s="1">
        <f>AVERAGE(Form_Responses3[[#This Row],[Problem Solving Skills '[I am able to solve problems without using AI']  ]:[Problem Solving Skills '[I feel less confident solving problems without AI'] ]])</f>
        <v>4</v>
      </c>
      <c r="K40" s="1">
        <v>4</v>
      </c>
      <c r="L40" s="1">
        <v>3</v>
      </c>
      <c r="M40" s="1">
        <v>5</v>
      </c>
      <c r="N40" s="1">
        <v>4</v>
      </c>
      <c r="O40" s="1">
        <f>AVERAGE(Form_Responses3[[#This Row],[Critical Thinking '[I verify the accuracy of AI-generated responses'] ]:[Critical Thinking '[AI reduces my ability to think critically'] ]])</f>
        <v>4</v>
      </c>
      <c r="P40" s="1">
        <v>3</v>
      </c>
      <c r="Q40" s="1">
        <v>4</v>
      </c>
      <c r="R40" s="1">
        <v>5</v>
      </c>
      <c r="S40" s="1">
        <v>5</v>
      </c>
      <c r="T40" s="1">
        <f>AVERAGE(Form_Responses3[[#This Row],[Personal Use '[I use AI tools for personal purposes beyond academics']]:[Personal Use '[I use AI to explore new ideas or topics out of curiosity']]])</f>
        <v>4.25</v>
      </c>
      <c r="U40" s="1" t="s">
        <v>57</v>
      </c>
    </row>
    <row r="41" spans="1:21" ht="22.5" customHeight="1" x14ac:dyDescent="0.25">
      <c r="A41" s="1">
        <v>4</v>
      </c>
      <c r="B41" s="1">
        <v>3</v>
      </c>
      <c r="C41" s="1">
        <v>5</v>
      </c>
      <c r="D41" s="1">
        <v>2</v>
      </c>
      <c r="E41" s="1">
        <f>AVERAGE(Form_Responses3[[#This Row],[AI Usage '[I regularly use AI tools for academic purposes']]:[AI Usage '[I feel dependent on AI tools']]])</f>
        <v>3.5</v>
      </c>
      <c r="F41" s="1">
        <v>4</v>
      </c>
      <c r="G41" s="1">
        <v>5</v>
      </c>
      <c r="H41" s="1">
        <v>5</v>
      </c>
      <c r="I41" s="1">
        <v>1</v>
      </c>
      <c r="J41" s="1">
        <f>AVERAGE(Form_Responses3[[#This Row],[Problem Solving Skills '[I am able to solve problems without using AI']  ]:[Problem Solving Skills '[I feel less confident solving problems without AI'] ]])</f>
        <v>3.75</v>
      </c>
      <c r="K41" s="1">
        <v>5</v>
      </c>
      <c r="L41" s="1">
        <v>5</v>
      </c>
      <c r="M41" s="1">
        <v>5</v>
      </c>
      <c r="N41" s="1">
        <v>1</v>
      </c>
      <c r="O41" s="1">
        <f>AVERAGE(Form_Responses3[[#This Row],[Critical Thinking '[I verify the accuracy of AI-generated responses'] ]:[Critical Thinking '[AI reduces my ability to think critically'] ]])</f>
        <v>4</v>
      </c>
      <c r="P41" s="1">
        <v>2</v>
      </c>
      <c r="Q41" s="1">
        <v>4</v>
      </c>
      <c r="R41" s="1">
        <v>4</v>
      </c>
      <c r="S41" s="1">
        <v>5</v>
      </c>
      <c r="T41" s="1">
        <f>AVERAGE(Form_Responses3[[#This Row],[Personal Use '[I use AI tools for personal purposes beyond academics']]:[Personal Use '[I use AI to explore new ideas or topics out of curiosity']]])</f>
        <v>3.75</v>
      </c>
      <c r="U41" s="1" t="s">
        <v>58</v>
      </c>
    </row>
    <row r="42" spans="1:21" ht="22.5" customHeight="1" x14ac:dyDescent="0.25">
      <c r="A42" s="1">
        <v>5</v>
      </c>
      <c r="B42" s="1">
        <v>4</v>
      </c>
      <c r="C42" s="1">
        <v>4</v>
      </c>
      <c r="D42" s="1">
        <v>4</v>
      </c>
      <c r="E42" s="1">
        <f>AVERAGE(Form_Responses3[[#This Row],[AI Usage '[I regularly use AI tools for academic purposes']]:[AI Usage '[I feel dependent on AI tools']]])</f>
        <v>4.25</v>
      </c>
      <c r="F42" s="1">
        <v>4</v>
      </c>
      <c r="G42" s="1">
        <v>5</v>
      </c>
      <c r="H42" s="1">
        <v>4</v>
      </c>
      <c r="I42" s="1">
        <v>4</v>
      </c>
      <c r="J42" s="1">
        <f>AVERAGE(Form_Responses3[[#This Row],[Problem Solving Skills '[I am able to solve problems without using AI']  ]:[Problem Solving Skills '[I feel less confident solving problems without AI'] ]])</f>
        <v>4.25</v>
      </c>
      <c r="K42" s="1">
        <v>5</v>
      </c>
      <c r="L42" s="1">
        <v>4</v>
      </c>
      <c r="M42" s="1">
        <v>5</v>
      </c>
      <c r="N42" s="1">
        <v>2</v>
      </c>
      <c r="O42" s="1">
        <f>AVERAGE(Form_Responses3[[#This Row],[Critical Thinking '[I verify the accuracy of AI-generated responses'] ]:[Critical Thinking '[AI reduces my ability to think critically'] ]])</f>
        <v>4</v>
      </c>
      <c r="P42" s="1">
        <v>3</v>
      </c>
      <c r="Q42" s="1">
        <v>4</v>
      </c>
      <c r="R42" s="1">
        <v>4</v>
      </c>
      <c r="S42" s="1">
        <v>2</v>
      </c>
      <c r="T42" s="1">
        <f>AVERAGE(Form_Responses3[[#This Row],[Personal Use '[I use AI tools for personal purposes beyond academics']]:[Personal Use '[I use AI to explore new ideas or topics out of curiosity']]])</f>
        <v>3.25</v>
      </c>
      <c r="U42" s="1" t="s">
        <v>59</v>
      </c>
    </row>
    <row r="43" spans="1:21" ht="22.5" customHeight="1" x14ac:dyDescent="0.25">
      <c r="A43" s="1">
        <v>5</v>
      </c>
      <c r="B43" s="1">
        <v>5</v>
      </c>
      <c r="C43" s="1">
        <v>4</v>
      </c>
      <c r="D43" s="1">
        <v>5</v>
      </c>
      <c r="E43" s="1">
        <f>AVERAGE(Form_Responses3[[#This Row],[AI Usage '[I regularly use AI tools for academic purposes']]:[AI Usage '[I feel dependent on AI tools']]])</f>
        <v>4.75</v>
      </c>
      <c r="F43" s="1">
        <v>4</v>
      </c>
      <c r="G43" s="1">
        <v>4</v>
      </c>
      <c r="H43" s="1">
        <v>5</v>
      </c>
      <c r="I43" s="1">
        <v>1</v>
      </c>
      <c r="J43" s="1">
        <f>AVERAGE(Form_Responses3[[#This Row],[Problem Solving Skills '[I am able to solve problems without using AI']  ]:[Problem Solving Skills '[I feel less confident solving problems without AI'] ]])</f>
        <v>3.5</v>
      </c>
      <c r="K43" s="1">
        <v>5</v>
      </c>
      <c r="L43" s="1">
        <v>4</v>
      </c>
      <c r="M43" s="1">
        <v>5</v>
      </c>
      <c r="N43" s="1">
        <v>1</v>
      </c>
      <c r="O43" s="1">
        <f>AVERAGE(Form_Responses3[[#This Row],[Critical Thinking '[I verify the accuracy of AI-generated responses'] ]:[Critical Thinking '[AI reduces my ability to think critically'] ]])</f>
        <v>3.75</v>
      </c>
      <c r="P43" s="1">
        <v>3</v>
      </c>
      <c r="Q43" s="1">
        <v>3</v>
      </c>
      <c r="R43" s="1">
        <v>2</v>
      </c>
      <c r="S43" s="1">
        <v>3</v>
      </c>
      <c r="T43" s="1">
        <f>AVERAGE(Form_Responses3[[#This Row],[Personal Use '[I use AI tools for personal purposes beyond academics']]:[Personal Use '[I use AI to explore new ideas or topics out of curiosity']]])</f>
        <v>2.75</v>
      </c>
      <c r="U43" s="1" t="s">
        <v>37</v>
      </c>
    </row>
    <row r="44" spans="1:21" ht="22.5" customHeight="1" x14ac:dyDescent="0.25">
      <c r="A44" s="1">
        <v>2</v>
      </c>
      <c r="B44" s="1">
        <v>1</v>
      </c>
      <c r="C44" s="1">
        <v>3</v>
      </c>
      <c r="D44" s="1">
        <v>3</v>
      </c>
      <c r="E44" s="1">
        <f>AVERAGE(Form_Responses3[[#This Row],[AI Usage '[I regularly use AI tools for academic purposes']]:[AI Usage '[I feel dependent on AI tools']]])</f>
        <v>2.25</v>
      </c>
      <c r="F44" s="1">
        <v>2</v>
      </c>
      <c r="G44" s="1">
        <v>1</v>
      </c>
      <c r="H44" s="1">
        <v>3</v>
      </c>
      <c r="I44" s="1">
        <v>3</v>
      </c>
      <c r="J44" s="1">
        <f>AVERAGE(Form_Responses3[[#This Row],[Problem Solving Skills '[I am able to solve problems without using AI']  ]:[Problem Solving Skills '[I feel less confident solving problems without AI'] ]])</f>
        <v>2.25</v>
      </c>
      <c r="K44" s="1">
        <v>1</v>
      </c>
      <c r="L44" s="1">
        <v>2</v>
      </c>
      <c r="M44" s="1">
        <v>1</v>
      </c>
      <c r="N44" s="1">
        <v>3</v>
      </c>
      <c r="O44" s="1">
        <f>AVERAGE(Form_Responses3[[#This Row],[Critical Thinking '[I verify the accuracy of AI-generated responses'] ]:[Critical Thinking '[AI reduces my ability to think critically'] ]])</f>
        <v>1.75</v>
      </c>
      <c r="P44" s="1">
        <v>3</v>
      </c>
      <c r="Q44" s="1">
        <v>1</v>
      </c>
      <c r="R44" s="1">
        <v>3</v>
      </c>
      <c r="S44" s="1">
        <v>2</v>
      </c>
      <c r="T44" s="1">
        <f>AVERAGE(Form_Responses3[[#This Row],[Personal Use '[I use AI tools for personal purposes beyond academics']]:[Personal Use '[I use AI to explore new ideas or topics out of curiosity']]])</f>
        <v>2.25</v>
      </c>
      <c r="U44" s="1" t="s">
        <v>60</v>
      </c>
    </row>
    <row r="45" spans="1:21" ht="22.5" customHeight="1" x14ac:dyDescent="0.25">
      <c r="A45" s="1">
        <v>5</v>
      </c>
      <c r="B45" s="1">
        <v>5</v>
      </c>
      <c r="C45" s="1">
        <v>5</v>
      </c>
      <c r="D45" s="1">
        <v>5</v>
      </c>
      <c r="E45" s="1">
        <f>AVERAGE(Form_Responses3[[#This Row],[AI Usage '[I regularly use AI tools for academic purposes']]:[AI Usage '[I feel dependent on AI tools']]])</f>
        <v>5</v>
      </c>
      <c r="F45" s="1">
        <v>4</v>
      </c>
      <c r="G45" s="1">
        <v>4</v>
      </c>
      <c r="H45" s="1">
        <v>4</v>
      </c>
      <c r="I45" s="1">
        <v>2</v>
      </c>
      <c r="J45" s="1">
        <f>AVERAGE(Form_Responses3[[#This Row],[Problem Solving Skills '[I am able to solve problems without using AI']  ]:[Problem Solving Skills '[I feel less confident solving problems without AI'] ]])</f>
        <v>3.5</v>
      </c>
      <c r="K45" s="1">
        <v>4</v>
      </c>
      <c r="L45" s="1">
        <v>4</v>
      </c>
      <c r="M45" s="1">
        <v>4</v>
      </c>
      <c r="N45" s="1">
        <v>2</v>
      </c>
      <c r="O45" s="1">
        <f>AVERAGE(Form_Responses3[[#This Row],[Critical Thinking '[I verify the accuracy of AI-generated responses'] ]:[Critical Thinking '[AI reduces my ability to think critically'] ]])</f>
        <v>3.5</v>
      </c>
      <c r="P45" s="1">
        <v>4</v>
      </c>
      <c r="Q45" s="1">
        <v>4</v>
      </c>
      <c r="R45" s="1">
        <v>4</v>
      </c>
      <c r="S45" s="1">
        <v>4</v>
      </c>
      <c r="T45" s="1">
        <f>AVERAGE(Form_Responses3[[#This Row],[Personal Use '[I use AI tools for personal purposes beyond academics']]:[Personal Use '[I use AI to explore new ideas or topics out of curiosity']]])</f>
        <v>4</v>
      </c>
      <c r="U45" s="1" t="s">
        <v>61</v>
      </c>
    </row>
    <row r="46" spans="1:21" ht="22.5" customHeight="1" x14ac:dyDescent="0.25">
      <c r="A46" s="1">
        <v>3</v>
      </c>
      <c r="B46" s="1">
        <v>2</v>
      </c>
      <c r="C46" s="1">
        <v>3</v>
      </c>
      <c r="D46" s="1">
        <v>2</v>
      </c>
      <c r="E46" s="1">
        <f>AVERAGE(Form_Responses3[[#This Row],[AI Usage '[I regularly use AI tools for academic purposes']]:[AI Usage '[I feel dependent on AI tools']]])</f>
        <v>2.5</v>
      </c>
      <c r="F46" s="1">
        <v>5</v>
      </c>
      <c r="G46" s="1">
        <v>2</v>
      </c>
      <c r="H46" s="1">
        <v>4</v>
      </c>
      <c r="I46" s="1">
        <v>4</v>
      </c>
      <c r="J46" s="1">
        <f>AVERAGE(Form_Responses3[[#This Row],[Problem Solving Skills '[I am able to solve problems without using AI']  ]:[Problem Solving Skills '[I feel less confident solving problems without AI'] ]])</f>
        <v>3.75</v>
      </c>
      <c r="K46" s="1">
        <v>3</v>
      </c>
      <c r="L46" s="1">
        <v>4</v>
      </c>
      <c r="M46" s="1">
        <v>5</v>
      </c>
      <c r="N46" s="1">
        <v>2</v>
      </c>
      <c r="O46" s="1">
        <f>AVERAGE(Form_Responses3[[#This Row],[Critical Thinking '[I verify the accuracy of AI-generated responses'] ]:[Critical Thinking '[AI reduces my ability to think critically'] ]])</f>
        <v>3.5</v>
      </c>
      <c r="P46" s="1">
        <v>4</v>
      </c>
      <c r="Q46" s="1">
        <v>4</v>
      </c>
      <c r="R46" s="1">
        <v>3</v>
      </c>
      <c r="S46" s="1">
        <v>5</v>
      </c>
      <c r="T46" s="1">
        <f>AVERAGE(Form_Responses3[[#This Row],[Personal Use '[I use AI tools for personal purposes beyond academics']]:[Personal Use '[I use AI to explore new ideas or topics out of curiosity']]])</f>
        <v>4</v>
      </c>
      <c r="U46" s="1" t="s">
        <v>62</v>
      </c>
    </row>
    <row r="47" spans="1:21" ht="22.5" customHeight="1" x14ac:dyDescent="0.25">
      <c r="A47" s="1">
        <v>4</v>
      </c>
      <c r="B47" s="1">
        <v>5</v>
      </c>
      <c r="C47" s="1">
        <v>5</v>
      </c>
      <c r="D47" s="1">
        <v>4</v>
      </c>
      <c r="E47" s="1">
        <f>AVERAGE(Form_Responses3[[#This Row],[AI Usage '[I regularly use AI tools for academic purposes']]:[AI Usage '[I feel dependent on AI tools']]])</f>
        <v>4.5</v>
      </c>
      <c r="F47" s="1">
        <v>4</v>
      </c>
      <c r="G47" s="1">
        <v>3</v>
      </c>
      <c r="H47" s="1">
        <v>5</v>
      </c>
      <c r="I47" s="1">
        <v>3</v>
      </c>
      <c r="J47" s="1">
        <f>AVERAGE(Form_Responses3[[#This Row],[Problem Solving Skills '[I am able to solve problems without using AI']  ]:[Problem Solving Skills '[I feel less confident solving problems without AI'] ]])</f>
        <v>3.75</v>
      </c>
      <c r="K47" s="1">
        <v>4</v>
      </c>
      <c r="L47" s="1">
        <v>4</v>
      </c>
      <c r="M47" s="1">
        <v>3</v>
      </c>
      <c r="N47" s="1">
        <v>2</v>
      </c>
      <c r="O47" s="1">
        <f>AVERAGE(Form_Responses3[[#This Row],[Critical Thinking '[I verify the accuracy of AI-generated responses'] ]:[Critical Thinking '[AI reduces my ability to think critically'] ]])</f>
        <v>3.25</v>
      </c>
      <c r="P47" s="1">
        <v>5</v>
      </c>
      <c r="Q47" s="1">
        <v>3</v>
      </c>
      <c r="R47" s="1">
        <v>4</v>
      </c>
      <c r="S47" s="1">
        <v>4</v>
      </c>
      <c r="T47" s="1">
        <f>AVERAGE(Form_Responses3[[#This Row],[Personal Use '[I use AI tools for personal purposes beyond academics']]:[Personal Use '[I use AI to explore new ideas or topics out of curiosity']]])</f>
        <v>4</v>
      </c>
      <c r="U47" s="1" t="s">
        <v>63</v>
      </c>
    </row>
    <row r="48" spans="1:21" ht="22.5" customHeight="1" x14ac:dyDescent="0.25">
      <c r="A48" s="1">
        <v>4</v>
      </c>
      <c r="B48" s="1">
        <v>5</v>
      </c>
      <c r="C48" s="1">
        <v>4</v>
      </c>
      <c r="D48" s="1">
        <v>3</v>
      </c>
      <c r="E48" s="1">
        <f>AVERAGE(Form_Responses3[[#This Row],[AI Usage '[I regularly use AI tools for academic purposes']]:[AI Usage '[I feel dependent on AI tools']]])</f>
        <v>4</v>
      </c>
      <c r="F48" s="1">
        <v>5</v>
      </c>
      <c r="G48" s="1">
        <v>4</v>
      </c>
      <c r="H48" s="1">
        <v>5</v>
      </c>
      <c r="I48" s="1">
        <v>4</v>
      </c>
      <c r="J48" s="1">
        <f>AVERAGE(Form_Responses3[[#This Row],[Problem Solving Skills '[I am able to solve problems without using AI']  ]:[Problem Solving Skills '[I feel less confident solving problems without AI'] ]])</f>
        <v>4.5</v>
      </c>
      <c r="K48" s="1">
        <v>5</v>
      </c>
      <c r="L48" s="1">
        <v>4</v>
      </c>
      <c r="M48" s="1">
        <v>4</v>
      </c>
      <c r="N48" s="1">
        <v>2</v>
      </c>
      <c r="O48" s="1">
        <f>AVERAGE(Form_Responses3[[#This Row],[Critical Thinking '[I verify the accuracy of AI-generated responses'] ]:[Critical Thinking '[AI reduces my ability to think critically'] ]])</f>
        <v>3.75</v>
      </c>
      <c r="P48" s="1">
        <v>3</v>
      </c>
      <c r="Q48" s="1">
        <v>5</v>
      </c>
      <c r="R48" s="1">
        <v>3</v>
      </c>
      <c r="S48" s="1">
        <v>5</v>
      </c>
      <c r="T48" s="1">
        <f>AVERAGE(Form_Responses3[[#This Row],[Personal Use '[I use AI tools for personal purposes beyond academics']]:[Personal Use '[I use AI to explore new ideas or topics out of curiosity']]])</f>
        <v>4</v>
      </c>
      <c r="U48" s="1" t="s">
        <v>64</v>
      </c>
    </row>
    <row r="49" spans="1:21" ht="22.5" customHeight="1" x14ac:dyDescent="0.25">
      <c r="A49" s="1">
        <v>4</v>
      </c>
      <c r="B49" s="1">
        <v>3</v>
      </c>
      <c r="C49" s="1">
        <v>3</v>
      </c>
      <c r="D49" s="1">
        <v>4</v>
      </c>
      <c r="E49" s="1">
        <f>AVERAGE(Form_Responses3[[#This Row],[AI Usage '[I regularly use AI tools for academic purposes']]:[AI Usage '[I feel dependent on AI tools']]])</f>
        <v>3.5</v>
      </c>
      <c r="F49" s="1">
        <v>2</v>
      </c>
      <c r="G49" s="1">
        <v>4</v>
      </c>
      <c r="H49" s="1">
        <v>4</v>
      </c>
      <c r="I49" s="1">
        <v>4</v>
      </c>
      <c r="J49" s="1">
        <f>AVERAGE(Form_Responses3[[#This Row],[Problem Solving Skills '[I am able to solve problems without using AI']  ]:[Problem Solving Skills '[I feel less confident solving problems without AI'] ]])</f>
        <v>3.5</v>
      </c>
      <c r="K49" s="1">
        <v>5</v>
      </c>
      <c r="L49" s="1">
        <v>4</v>
      </c>
      <c r="M49" s="1">
        <v>4</v>
      </c>
      <c r="N49" s="1">
        <v>2</v>
      </c>
      <c r="O49" s="1">
        <f>AVERAGE(Form_Responses3[[#This Row],[Critical Thinking '[I verify the accuracy of AI-generated responses'] ]:[Critical Thinking '[AI reduces my ability to think critically'] ]])</f>
        <v>3.75</v>
      </c>
      <c r="P49" s="1">
        <v>4</v>
      </c>
      <c r="Q49" s="1">
        <v>5</v>
      </c>
      <c r="R49" s="1">
        <v>3</v>
      </c>
      <c r="S49" s="1">
        <v>4</v>
      </c>
      <c r="T49" s="1">
        <f>AVERAGE(Form_Responses3[[#This Row],[Personal Use '[I use AI tools for personal purposes beyond academics']]:[Personal Use '[I use AI to explore new ideas or topics out of curiosity']]])</f>
        <v>4</v>
      </c>
      <c r="U49" s="1" t="s">
        <v>65</v>
      </c>
    </row>
    <row r="50" spans="1:21" ht="22.5" customHeight="1" x14ac:dyDescent="0.25">
      <c r="A50" s="1">
        <v>4</v>
      </c>
      <c r="B50" s="1">
        <v>4</v>
      </c>
      <c r="C50" s="1">
        <v>4</v>
      </c>
      <c r="D50" s="1">
        <v>4</v>
      </c>
      <c r="E50" s="1">
        <f>AVERAGE(Form_Responses3[[#This Row],[AI Usage '[I regularly use AI tools for academic purposes']]:[AI Usage '[I feel dependent on AI tools']]])</f>
        <v>4</v>
      </c>
      <c r="F50" s="1">
        <v>4</v>
      </c>
      <c r="G50" s="1">
        <v>4</v>
      </c>
      <c r="H50" s="1">
        <v>4</v>
      </c>
      <c r="I50" s="1">
        <v>4</v>
      </c>
      <c r="J50" s="1">
        <f>AVERAGE(Form_Responses3[[#This Row],[Problem Solving Skills '[I am able to solve problems without using AI']  ]:[Problem Solving Skills '[I feel less confident solving problems without AI'] ]])</f>
        <v>4</v>
      </c>
      <c r="K50" s="1">
        <v>2</v>
      </c>
      <c r="L50" s="1">
        <v>3</v>
      </c>
      <c r="M50" s="1">
        <v>4</v>
      </c>
      <c r="N50" s="1">
        <v>2</v>
      </c>
      <c r="O50" s="1">
        <f>AVERAGE(Form_Responses3[[#This Row],[Critical Thinking '[I verify the accuracy of AI-generated responses'] ]:[Critical Thinking '[AI reduces my ability to think critically'] ]])</f>
        <v>2.75</v>
      </c>
      <c r="P50" s="1">
        <v>4</v>
      </c>
      <c r="Q50" s="1">
        <v>4</v>
      </c>
      <c r="R50" s="1">
        <v>4</v>
      </c>
      <c r="S50" s="1">
        <v>4</v>
      </c>
      <c r="T50" s="1">
        <f>AVERAGE(Form_Responses3[[#This Row],[Personal Use '[I use AI tools for personal purposes beyond academics']]:[Personal Use '[I use AI to explore new ideas or topics out of curiosity']]])</f>
        <v>4</v>
      </c>
      <c r="U50" s="1" t="s">
        <v>66</v>
      </c>
    </row>
    <row r="51" spans="1:21" ht="22.5" customHeight="1" x14ac:dyDescent="0.25">
      <c r="A51" s="1">
        <v>4</v>
      </c>
      <c r="B51" s="1">
        <v>3</v>
      </c>
      <c r="C51" s="1">
        <v>4</v>
      </c>
      <c r="D51" s="1">
        <v>3</v>
      </c>
      <c r="E51" s="1">
        <f>AVERAGE(Form_Responses3[[#This Row],[AI Usage '[I regularly use AI tools for academic purposes']]:[AI Usage '[I feel dependent on AI tools']]])</f>
        <v>3.5</v>
      </c>
      <c r="F51" s="1">
        <v>4</v>
      </c>
      <c r="G51" s="1">
        <v>3</v>
      </c>
      <c r="H51" s="1">
        <v>3</v>
      </c>
      <c r="I51" s="1">
        <v>3</v>
      </c>
      <c r="J51" s="1">
        <f>AVERAGE(Form_Responses3[[#This Row],[Problem Solving Skills '[I am able to solve problems without using AI']  ]:[Problem Solving Skills '[I feel less confident solving problems without AI'] ]])</f>
        <v>3.25</v>
      </c>
      <c r="K51" s="1">
        <v>4</v>
      </c>
      <c r="L51" s="1">
        <v>4</v>
      </c>
      <c r="M51" s="1">
        <v>3</v>
      </c>
      <c r="N51" s="1">
        <v>3</v>
      </c>
      <c r="O51" s="1">
        <f>AVERAGE(Form_Responses3[[#This Row],[Critical Thinking '[I verify the accuracy of AI-generated responses'] ]:[Critical Thinking '[AI reduces my ability to think critically'] ]])</f>
        <v>3.5</v>
      </c>
      <c r="P51" s="1">
        <v>2</v>
      </c>
      <c r="Q51" s="1">
        <v>4</v>
      </c>
      <c r="R51" s="1">
        <v>2</v>
      </c>
      <c r="S51" s="1">
        <v>3</v>
      </c>
      <c r="T51" s="1">
        <f>AVERAGE(Form_Responses3[[#This Row],[Personal Use '[I use AI tools for personal purposes beyond academics']]:[Personal Use '[I use AI to explore new ideas or topics out of curiosity']]])</f>
        <v>2.75</v>
      </c>
      <c r="U51" s="1" t="s">
        <v>67</v>
      </c>
    </row>
    <row r="52" spans="1:21" ht="22.5" customHeight="1" x14ac:dyDescent="0.25">
      <c r="A52" s="1">
        <v>5</v>
      </c>
      <c r="B52" s="1">
        <v>5</v>
      </c>
      <c r="C52" s="1">
        <v>5</v>
      </c>
      <c r="D52" s="1">
        <v>5</v>
      </c>
      <c r="E52" s="1">
        <f>AVERAGE(Form_Responses3[[#This Row],[AI Usage '[I regularly use AI tools for academic purposes']]:[AI Usage '[I feel dependent on AI tools']]])</f>
        <v>5</v>
      </c>
      <c r="F52" s="1">
        <v>4</v>
      </c>
      <c r="G52" s="1">
        <v>3</v>
      </c>
      <c r="H52" s="1">
        <v>2</v>
      </c>
      <c r="I52" s="1">
        <v>2</v>
      </c>
      <c r="J52" s="1">
        <f>AVERAGE(Form_Responses3[[#This Row],[Problem Solving Skills '[I am able to solve problems without using AI']  ]:[Problem Solving Skills '[I feel less confident solving problems without AI'] ]])</f>
        <v>2.75</v>
      </c>
      <c r="K52" s="1">
        <v>3</v>
      </c>
      <c r="L52" s="1">
        <v>4</v>
      </c>
      <c r="M52" s="1">
        <v>3</v>
      </c>
      <c r="N52" s="1">
        <v>2</v>
      </c>
      <c r="O52" s="1">
        <f>AVERAGE(Form_Responses3[[#This Row],[Critical Thinking '[I verify the accuracy of AI-generated responses'] ]:[Critical Thinking '[AI reduces my ability to think critically'] ]])</f>
        <v>3</v>
      </c>
      <c r="P52" s="1">
        <v>5</v>
      </c>
      <c r="Q52" s="1">
        <v>5</v>
      </c>
      <c r="R52" s="1">
        <v>3</v>
      </c>
      <c r="S52" s="1">
        <v>3</v>
      </c>
      <c r="T52" s="1">
        <f>AVERAGE(Form_Responses3[[#This Row],[Personal Use '[I use AI tools for personal purposes beyond academics']]:[Personal Use '[I use AI to explore new ideas or topics out of curiosity']]])</f>
        <v>4</v>
      </c>
      <c r="U52" s="1" t="s">
        <v>68</v>
      </c>
    </row>
    <row r="55" spans="1:21" ht="15.75" customHeight="1" x14ac:dyDescent="0.25">
      <c r="F55" s="2" t="s">
        <v>73</v>
      </c>
    </row>
    <row r="56" spans="1:21" ht="15.75" customHeight="1" x14ac:dyDescent="0.25">
      <c r="F56" s="2">
        <f>_xlfn.VAR.S(Form_Responses3[Average of Ai Usage])</f>
        <v>0.61254901960784314</v>
      </c>
    </row>
    <row r="57" spans="1:21" ht="15.75" customHeight="1" x14ac:dyDescent="0.25">
      <c r="F57" s="2">
        <f>_xlfn.VAR.S(Form_Responses3[Average of Problem solving skills])</f>
        <v>0.31176470588235361</v>
      </c>
    </row>
    <row r="58" spans="1:21" ht="15.75" customHeight="1" x14ac:dyDescent="0.25">
      <c r="F58" s="2">
        <f>_xlfn.VAR.S(Form_Responses3[Average of Critical Thinking])</f>
        <v>0.47843137254901874</v>
      </c>
    </row>
    <row r="59" spans="1:21" ht="15.75" customHeight="1" x14ac:dyDescent="0.25">
      <c r="F59" s="2">
        <f>_xlfn.VAR.S(Form_Responses3[Average of Personal Use])</f>
        <v>1.0099019607843138</v>
      </c>
    </row>
  </sheetData>
  <pageMargins left="0" right="0" top="0" bottom="0" header="0" footer="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T104"/>
  <sheetViews>
    <sheetView topLeftCell="B46" zoomScale="70" zoomScaleNormal="70" workbookViewId="0">
      <selection activeCell="D77" sqref="D77"/>
    </sheetView>
  </sheetViews>
  <sheetFormatPr defaultColWidth="12.5546875" defaultRowHeight="15.75" customHeight="1" x14ac:dyDescent="0.25"/>
  <cols>
    <col min="1" max="3" width="37.5546875" style="2" customWidth="1"/>
    <col min="4" max="4" width="34.88671875" style="2" bestFit="1" customWidth="1"/>
    <col min="5" max="5" width="37.5546875" style="2" customWidth="1"/>
    <col min="6" max="6" width="61.44140625" style="2" bestFit="1" customWidth="1"/>
    <col min="7" max="7" width="75.44140625" style="2" bestFit="1" customWidth="1"/>
    <col min="8" max="9" width="37.5546875" style="2" customWidth="1"/>
    <col min="10" max="10" width="54.6640625" style="2" bestFit="1" customWidth="1"/>
    <col min="11" max="11" width="61.5546875" style="2" bestFit="1" customWidth="1"/>
    <col min="12" max="12" width="37.5546875" style="2" customWidth="1"/>
    <col min="13" max="13" width="63.109375" style="2" bestFit="1" customWidth="1"/>
    <col min="14" max="14" width="60.6640625" style="2" bestFit="1" customWidth="1"/>
    <col min="15" max="15" width="71.6640625" style="2" bestFit="1" customWidth="1"/>
    <col min="16" max="16" width="62" style="2" bestFit="1" customWidth="1"/>
    <col min="17" max="17" width="172" style="2" customWidth="1"/>
    <col min="18" max="22" width="18.88671875" style="2" customWidth="1"/>
    <col min="23" max="16384" width="12.5546875" style="2"/>
  </cols>
  <sheetData>
    <row r="1" spans="1:20" ht="22.5" customHeight="1" x14ac:dyDescent="0.25">
      <c r="A1" s="3" t="s">
        <v>0</v>
      </c>
      <c r="B1" s="3" t="s">
        <v>1</v>
      </c>
      <c r="C1" s="3" t="s">
        <v>2</v>
      </c>
      <c r="D1" s="4" t="s">
        <v>3</v>
      </c>
      <c r="E1" s="4" t="s">
        <v>4</v>
      </c>
      <c r="F1" s="3" t="s">
        <v>5</v>
      </c>
      <c r="G1" s="4" t="s">
        <v>6</v>
      </c>
      <c r="H1" s="4" t="s">
        <v>7</v>
      </c>
      <c r="I1" s="3" t="s">
        <v>8</v>
      </c>
      <c r="J1" s="3" t="s">
        <v>9</v>
      </c>
      <c r="K1" s="3" t="s">
        <v>10</v>
      </c>
      <c r="L1" s="4" t="s">
        <v>11</v>
      </c>
      <c r="M1" s="4" t="s">
        <v>12</v>
      </c>
      <c r="N1" s="3" t="s">
        <v>13</v>
      </c>
      <c r="O1" s="3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3" t="s">
        <v>19</v>
      </c>
    </row>
    <row r="2" spans="1:20" ht="22.5" customHeight="1" x14ac:dyDescent="0.25">
      <c r="A2" s="1">
        <v>5</v>
      </c>
      <c r="B2" s="1">
        <v>5</v>
      </c>
      <c r="C2" s="1">
        <v>5</v>
      </c>
      <c r="D2" s="1">
        <v>4</v>
      </c>
      <c r="E2" s="1">
        <f>AVERAGE(Form_Responses[[#This Row],[AI Usage '[I regularly use AI tools for academic purposes']]:[AI Usage '[I feel dependent on AI tools']]])</f>
        <v>4.75</v>
      </c>
      <c r="F2" s="1">
        <v>4</v>
      </c>
      <c r="G2" s="1">
        <v>4</v>
      </c>
      <c r="H2" s="1">
        <v>5</v>
      </c>
      <c r="I2" s="1">
        <v>4</v>
      </c>
      <c r="J2" s="1">
        <f>AVERAGE(Form_Responses[[#This Row],[Problem Solving Skills '[I am able to solve problems without using AI']  ]:[Problem Solving Skills '[I feel less confident solving problems without AI'] ]])</f>
        <v>4.25</v>
      </c>
      <c r="K2" s="1">
        <v>2</v>
      </c>
      <c r="L2" s="1">
        <v>4</v>
      </c>
      <c r="M2" s="1">
        <v>4</v>
      </c>
      <c r="N2" s="1">
        <v>3</v>
      </c>
      <c r="O2" s="1">
        <f>AVERAGE(Form_Responses[[#This Row],[Critical Thinking '[I verify the accuracy of AI-generated responses'] ]:[Critical Thinking '[AI reduces my ability to think critically'] ]])</f>
        <v>3.25</v>
      </c>
      <c r="P2" s="1">
        <v>1</v>
      </c>
      <c r="Q2" s="1">
        <v>2</v>
      </c>
      <c r="R2" s="1">
        <v>1</v>
      </c>
      <c r="S2" s="1">
        <v>4</v>
      </c>
      <c r="T2" s="1">
        <f>AVERAGE(Form_Responses[[#This Row],[Personal Use '[I use AI tools for personal purposes beyond academics']]:[Personal Use '[I use AI to explore new ideas or topics out of curiosity']]])</f>
        <v>2</v>
      </c>
    </row>
    <row r="3" spans="1:20" ht="22.5" customHeight="1" x14ac:dyDescent="0.25">
      <c r="A3" s="1">
        <v>5</v>
      </c>
      <c r="B3" s="1">
        <v>4</v>
      </c>
      <c r="C3" s="1">
        <v>5</v>
      </c>
      <c r="D3" s="1">
        <v>4</v>
      </c>
      <c r="E3" s="1">
        <f>AVERAGE(Form_Responses[[#This Row],[AI Usage '[I regularly use AI tools for academic purposes']]:[AI Usage '[I feel dependent on AI tools']]])</f>
        <v>4.5</v>
      </c>
      <c r="F3" s="1">
        <v>4</v>
      </c>
      <c r="G3" s="1">
        <v>3</v>
      </c>
      <c r="H3" s="1">
        <v>5</v>
      </c>
      <c r="I3" s="1">
        <v>4</v>
      </c>
      <c r="J3" s="1">
        <f>AVERAGE(Form_Responses[[#This Row],[Problem Solving Skills '[I am able to solve problems without using AI']  ]:[Problem Solving Skills '[I feel less confident solving problems without AI'] ]])</f>
        <v>4</v>
      </c>
      <c r="K3" s="1">
        <v>5</v>
      </c>
      <c r="L3" s="1">
        <v>4</v>
      </c>
      <c r="M3" s="1">
        <v>5</v>
      </c>
      <c r="N3" s="1">
        <v>2</v>
      </c>
      <c r="O3" s="1">
        <f>AVERAGE(Form_Responses[[#This Row],[Critical Thinking '[I verify the accuracy of AI-generated responses'] ]:[Critical Thinking '[AI reduces my ability to think critically'] ]])</f>
        <v>4</v>
      </c>
      <c r="P3" s="1">
        <v>4</v>
      </c>
      <c r="Q3" s="1">
        <v>4</v>
      </c>
      <c r="R3" s="1">
        <v>4</v>
      </c>
      <c r="S3" s="1">
        <v>5</v>
      </c>
      <c r="T3" s="1">
        <f>AVERAGE(Form_Responses[[#This Row],[Personal Use '[I use AI tools for personal purposes beyond academics']]:[Personal Use '[I use AI to explore new ideas or topics out of curiosity']]])</f>
        <v>4.25</v>
      </c>
    </row>
    <row r="4" spans="1:20" ht="22.5" customHeight="1" x14ac:dyDescent="0.25">
      <c r="A4" s="1">
        <v>5</v>
      </c>
      <c r="B4" s="1">
        <v>3</v>
      </c>
      <c r="C4" s="1">
        <v>5</v>
      </c>
      <c r="D4" s="1">
        <v>3</v>
      </c>
      <c r="E4" s="1">
        <f>AVERAGE(Form_Responses[[#This Row],[AI Usage '[I regularly use AI tools for academic purposes']]:[AI Usage '[I feel dependent on AI tools']]])</f>
        <v>4</v>
      </c>
      <c r="F4" s="1">
        <v>3</v>
      </c>
      <c r="G4" s="1">
        <v>5</v>
      </c>
      <c r="H4" s="1">
        <v>5</v>
      </c>
      <c r="I4" s="1">
        <v>4</v>
      </c>
      <c r="J4" s="1">
        <f>AVERAGE(Form_Responses[[#This Row],[Problem Solving Skills '[I am able to solve problems without using AI']  ]:[Problem Solving Skills '[I feel less confident solving problems without AI'] ]])</f>
        <v>4.25</v>
      </c>
      <c r="K4" s="1">
        <v>5</v>
      </c>
      <c r="L4" s="1">
        <v>5</v>
      </c>
      <c r="M4" s="1">
        <v>5</v>
      </c>
      <c r="N4" s="1">
        <v>3</v>
      </c>
      <c r="O4" s="1">
        <f>AVERAGE(Form_Responses[[#This Row],[Critical Thinking '[I verify the accuracy of AI-generated responses'] ]:[Critical Thinking '[AI reduces my ability to think critically'] ]])</f>
        <v>4.5</v>
      </c>
      <c r="P4" s="1">
        <v>4</v>
      </c>
      <c r="Q4" s="1">
        <v>4</v>
      </c>
      <c r="R4" s="1">
        <v>4</v>
      </c>
      <c r="S4" s="1">
        <v>4</v>
      </c>
      <c r="T4" s="1">
        <f>AVERAGE(Form_Responses[[#This Row],[Personal Use '[I use AI tools for personal purposes beyond academics']]:[Personal Use '[I use AI to explore new ideas or topics out of curiosity']]])</f>
        <v>4</v>
      </c>
    </row>
    <row r="5" spans="1:20" ht="22.5" customHeight="1" x14ac:dyDescent="0.25">
      <c r="A5" s="1">
        <v>5</v>
      </c>
      <c r="B5" s="1">
        <v>5</v>
      </c>
      <c r="C5" s="1">
        <v>4</v>
      </c>
      <c r="D5" s="1">
        <v>4</v>
      </c>
      <c r="E5" s="1">
        <f>AVERAGE(Form_Responses[[#This Row],[AI Usage '[I regularly use AI tools for academic purposes']]:[AI Usage '[I feel dependent on AI tools']]])</f>
        <v>4.5</v>
      </c>
      <c r="F5" s="1">
        <v>4</v>
      </c>
      <c r="G5" s="1">
        <v>4</v>
      </c>
      <c r="H5" s="1">
        <v>3</v>
      </c>
      <c r="I5" s="1">
        <v>4</v>
      </c>
      <c r="J5" s="1">
        <f>AVERAGE(Form_Responses[[#This Row],[Problem Solving Skills '[I am able to solve problems without using AI']  ]:[Problem Solving Skills '[I feel less confident solving problems without AI'] ]])</f>
        <v>3.75</v>
      </c>
      <c r="K5" s="1">
        <v>4</v>
      </c>
      <c r="L5" s="1">
        <v>4</v>
      </c>
      <c r="M5" s="1">
        <v>5</v>
      </c>
      <c r="N5" s="1">
        <v>2</v>
      </c>
      <c r="O5" s="1">
        <f>AVERAGE(Form_Responses[[#This Row],[Critical Thinking '[I verify the accuracy of AI-generated responses'] ]:[Critical Thinking '[AI reduces my ability to think critically'] ]])</f>
        <v>3.75</v>
      </c>
      <c r="P5" s="1">
        <v>5</v>
      </c>
      <c r="Q5" s="1">
        <v>4</v>
      </c>
      <c r="R5" s="1">
        <v>5</v>
      </c>
      <c r="S5" s="1">
        <v>3</v>
      </c>
      <c r="T5" s="1">
        <f>AVERAGE(Form_Responses[[#This Row],[Personal Use '[I use AI tools for personal purposes beyond academics']]:[Personal Use '[I use AI to explore new ideas or topics out of curiosity']]])</f>
        <v>4.25</v>
      </c>
    </row>
    <row r="6" spans="1:20" ht="22.5" customHeight="1" x14ac:dyDescent="0.25">
      <c r="A6" s="1">
        <v>5</v>
      </c>
      <c r="B6" s="1">
        <v>4</v>
      </c>
      <c r="C6" s="1">
        <v>5</v>
      </c>
      <c r="D6" s="1">
        <v>4</v>
      </c>
      <c r="E6" s="1">
        <f>AVERAGE(Form_Responses[[#This Row],[AI Usage '[I regularly use AI tools for academic purposes']]:[AI Usage '[I feel dependent on AI tools']]])</f>
        <v>4.5</v>
      </c>
      <c r="F6" s="1">
        <v>2</v>
      </c>
      <c r="G6" s="1">
        <v>4</v>
      </c>
      <c r="H6" s="1">
        <v>4</v>
      </c>
      <c r="I6" s="1">
        <v>4</v>
      </c>
      <c r="J6" s="1">
        <f>AVERAGE(Form_Responses[[#This Row],[Problem Solving Skills '[I am able to solve problems without using AI']  ]:[Problem Solving Skills '[I feel less confident solving problems without AI'] ]])</f>
        <v>3.5</v>
      </c>
      <c r="K6" s="1">
        <v>5</v>
      </c>
      <c r="L6" s="1">
        <v>5</v>
      </c>
      <c r="M6" s="1">
        <v>5</v>
      </c>
      <c r="N6" s="1">
        <v>1</v>
      </c>
      <c r="O6" s="1">
        <f>AVERAGE(Form_Responses[[#This Row],[Critical Thinking '[I verify the accuracy of AI-generated responses'] ]:[Critical Thinking '[AI reduces my ability to think critically'] ]])</f>
        <v>4</v>
      </c>
      <c r="P6" s="1">
        <v>5</v>
      </c>
      <c r="Q6" s="1">
        <v>5</v>
      </c>
      <c r="R6" s="1">
        <v>5</v>
      </c>
      <c r="S6" s="1">
        <v>5</v>
      </c>
      <c r="T6" s="1">
        <f>AVERAGE(Form_Responses[[#This Row],[Personal Use '[I use AI tools for personal purposes beyond academics']]:[Personal Use '[I use AI to explore new ideas or topics out of curiosity']]])</f>
        <v>5</v>
      </c>
    </row>
    <row r="7" spans="1:20" ht="22.5" customHeight="1" x14ac:dyDescent="0.25">
      <c r="A7" s="1">
        <v>5</v>
      </c>
      <c r="B7" s="1">
        <v>5</v>
      </c>
      <c r="C7" s="1">
        <v>5</v>
      </c>
      <c r="D7" s="1">
        <v>5</v>
      </c>
      <c r="E7" s="1">
        <f>AVERAGE(Form_Responses[[#This Row],[AI Usage '[I regularly use AI tools for academic purposes']]:[AI Usage '[I feel dependent on AI tools']]])</f>
        <v>5</v>
      </c>
      <c r="F7" s="1">
        <v>4</v>
      </c>
      <c r="G7" s="1">
        <v>5</v>
      </c>
      <c r="H7" s="1">
        <v>5</v>
      </c>
      <c r="I7" s="1">
        <v>2</v>
      </c>
      <c r="J7" s="1">
        <f>AVERAGE(Form_Responses[[#This Row],[Problem Solving Skills '[I am able to solve problems without using AI']  ]:[Problem Solving Skills '[I feel less confident solving problems without AI'] ]])</f>
        <v>4</v>
      </c>
      <c r="K7" s="1">
        <v>4</v>
      </c>
      <c r="L7" s="1">
        <v>3</v>
      </c>
      <c r="M7" s="1">
        <v>2</v>
      </c>
      <c r="N7" s="1">
        <v>3</v>
      </c>
      <c r="O7" s="1">
        <f>AVERAGE(Form_Responses[[#This Row],[Critical Thinking '[I verify the accuracy of AI-generated responses'] ]:[Critical Thinking '[AI reduces my ability to think critically'] ]])</f>
        <v>3</v>
      </c>
      <c r="P7" s="1">
        <v>4</v>
      </c>
      <c r="Q7" s="1">
        <v>4</v>
      </c>
      <c r="R7" s="1">
        <v>3</v>
      </c>
      <c r="S7" s="1">
        <v>4</v>
      </c>
      <c r="T7" s="1">
        <f>AVERAGE(Form_Responses[[#This Row],[Personal Use '[I use AI tools for personal purposes beyond academics']]:[Personal Use '[I use AI to explore new ideas or topics out of curiosity']]])</f>
        <v>3.75</v>
      </c>
    </row>
    <row r="8" spans="1:20" ht="22.5" customHeight="1" x14ac:dyDescent="0.25">
      <c r="A8" s="1">
        <v>5</v>
      </c>
      <c r="B8" s="1">
        <v>5</v>
      </c>
      <c r="C8" s="1">
        <v>2</v>
      </c>
      <c r="D8" s="1">
        <v>3</v>
      </c>
      <c r="E8" s="1">
        <f>AVERAGE(Form_Responses[[#This Row],[AI Usage '[I regularly use AI tools for academic purposes']]:[AI Usage '[I feel dependent on AI tools']]])</f>
        <v>3.75</v>
      </c>
      <c r="F8" s="1">
        <v>4</v>
      </c>
      <c r="G8" s="1">
        <v>5</v>
      </c>
      <c r="H8" s="1">
        <v>3</v>
      </c>
      <c r="I8" s="1">
        <v>2</v>
      </c>
      <c r="J8" s="1">
        <f>AVERAGE(Form_Responses[[#This Row],[Problem Solving Skills '[I am able to solve problems without using AI']  ]:[Problem Solving Skills '[I feel less confident solving problems without AI'] ]])</f>
        <v>3.5</v>
      </c>
      <c r="K8" s="1">
        <v>2</v>
      </c>
      <c r="L8" s="1">
        <v>3</v>
      </c>
      <c r="M8" s="1">
        <v>4</v>
      </c>
      <c r="N8" s="1">
        <v>1</v>
      </c>
      <c r="O8" s="1">
        <f>AVERAGE(Form_Responses[[#This Row],[Critical Thinking '[I verify the accuracy of AI-generated responses'] ]:[Critical Thinking '[AI reduces my ability to think critically'] ]])</f>
        <v>2.5</v>
      </c>
      <c r="P8" s="1">
        <v>4</v>
      </c>
      <c r="Q8" s="1">
        <v>1</v>
      </c>
      <c r="R8" s="1">
        <v>1</v>
      </c>
      <c r="S8" s="1">
        <v>4</v>
      </c>
      <c r="T8" s="1">
        <f>AVERAGE(Form_Responses[[#This Row],[Personal Use '[I use AI tools for personal purposes beyond academics']]:[Personal Use '[I use AI to explore new ideas or topics out of curiosity']]])</f>
        <v>2.5</v>
      </c>
    </row>
    <row r="9" spans="1:20" ht="22.5" customHeight="1" x14ac:dyDescent="0.25">
      <c r="A9" s="1">
        <v>5</v>
      </c>
      <c r="B9" s="1">
        <v>5</v>
      </c>
      <c r="C9" s="1">
        <v>5</v>
      </c>
      <c r="D9" s="1">
        <v>5</v>
      </c>
      <c r="E9" s="1">
        <f>AVERAGE(Form_Responses[[#This Row],[AI Usage '[I regularly use AI tools for academic purposes']]:[AI Usage '[I feel dependent on AI tools']]])</f>
        <v>5</v>
      </c>
      <c r="F9" s="1">
        <v>2</v>
      </c>
      <c r="G9" s="1">
        <v>5</v>
      </c>
      <c r="H9" s="1">
        <v>2</v>
      </c>
      <c r="I9" s="1">
        <v>2</v>
      </c>
      <c r="J9" s="1">
        <f>AVERAGE(Form_Responses[[#This Row],[Problem Solving Skills '[I am able to solve problems without using AI']  ]:[Problem Solving Skills '[I feel less confident solving problems without AI'] ]])</f>
        <v>2.75</v>
      </c>
      <c r="K9" s="1">
        <v>2</v>
      </c>
      <c r="L9" s="1">
        <v>2</v>
      </c>
      <c r="M9" s="1">
        <v>2</v>
      </c>
      <c r="N9" s="1">
        <v>1</v>
      </c>
      <c r="O9" s="1">
        <f>AVERAGE(Form_Responses[[#This Row],[Critical Thinking '[I verify the accuracy of AI-generated responses'] ]:[Critical Thinking '[AI reduces my ability to think critically'] ]])</f>
        <v>1.75</v>
      </c>
      <c r="P9" s="1">
        <v>4</v>
      </c>
      <c r="Q9" s="1">
        <v>4</v>
      </c>
      <c r="R9" s="1">
        <v>5</v>
      </c>
      <c r="S9" s="1">
        <v>4</v>
      </c>
      <c r="T9" s="1">
        <f>AVERAGE(Form_Responses[[#This Row],[Personal Use '[I use AI tools for personal purposes beyond academics']]:[Personal Use '[I use AI to explore new ideas or topics out of curiosity']]])</f>
        <v>4.25</v>
      </c>
    </row>
    <row r="10" spans="1:20" ht="22.5" customHeight="1" x14ac:dyDescent="0.25">
      <c r="A10" s="1">
        <v>5</v>
      </c>
      <c r="B10" s="1">
        <v>4</v>
      </c>
      <c r="C10" s="1">
        <v>5</v>
      </c>
      <c r="D10" s="1">
        <v>3</v>
      </c>
      <c r="E10" s="1">
        <f>AVERAGE(Form_Responses[[#This Row],[AI Usage '[I regularly use AI tools for academic purposes']]:[AI Usage '[I feel dependent on AI tools']]])</f>
        <v>4.25</v>
      </c>
      <c r="F10" s="1">
        <v>3</v>
      </c>
      <c r="G10" s="1">
        <v>4</v>
      </c>
      <c r="H10" s="1">
        <v>4</v>
      </c>
      <c r="I10" s="1">
        <v>4</v>
      </c>
      <c r="J10" s="1">
        <f>AVERAGE(Form_Responses[[#This Row],[Problem Solving Skills '[I am able to solve problems without using AI']  ]:[Problem Solving Skills '[I feel less confident solving problems without AI'] ]])</f>
        <v>3.75</v>
      </c>
      <c r="K10" s="1">
        <v>4</v>
      </c>
      <c r="L10" s="1">
        <v>3</v>
      </c>
      <c r="M10" s="1">
        <v>4</v>
      </c>
      <c r="N10" s="1">
        <v>2</v>
      </c>
      <c r="O10" s="1">
        <f>AVERAGE(Form_Responses[[#This Row],[Critical Thinking '[I verify the accuracy of AI-generated responses'] ]:[Critical Thinking '[AI reduces my ability to think critically'] ]])</f>
        <v>3.25</v>
      </c>
      <c r="P10" s="1">
        <v>4</v>
      </c>
      <c r="Q10" s="1">
        <v>4</v>
      </c>
      <c r="R10" s="1">
        <v>4</v>
      </c>
      <c r="S10" s="1">
        <v>4</v>
      </c>
      <c r="T10" s="1">
        <f>AVERAGE(Form_Responses[[#This Row],[Personal Use '[I use AI tools for personal purposes beyond academics']]:[Personal Use '[I use AI to explore new ideas or topics out of curiosity']]])</f>
        <v>4</v>
      </c>
    </row>
    <row r="11" spans="1:20" ht="22.5" customHeight="1" x14ac:dyDescent="0.25">
      <c r="A11" s="1">
        <v>5</v>
      </c>
      <c r="B11" s="1">
        <v>5</v>
      </c>
      <c r="C11" s="1">
        <v>5</v>
      </c>
      <c r="D11" s="1">
        <v>1</v>
      </c>
      <c r="E11" s="1">
        <f>AVERAGE(Form_Responses[[#This Row],[AI Usage '[I regularly use AI tools for academic purposes']]:[AI Usage '[I feel dependent on AI tools']]])</f>
        <v>4</v>
      </c>
      <c r="F11" s="1">
        <v>5</v>
      </c>
      <c r="G11" s="1">
        <v>5</v>
      </c>
      <c r="H11" s="1">
        <v>5</v>
      </c>
      <c r="I11" s="1">
        <v>5</v>
      </c>
      <c r="J11" s="1">
        <f>AVERAGE(Form_Responses[[#This Row],[Problem Solving Skills '[I am able to solve problems without using AI']  ]:[Problem Solving Skills '[I feel less confident solving problems without AI'] ]])</f>
        <v>5</v>
      </c>
      <c r="K11" s="1">
        <v>5</v>
      </c>
      <c r="L11" s="1">
        <v>1</v>
      </c>
      <c r="M11" s="1">
        <v>1</v>
      </c>
      <c r="N11" s="1">
        <v>5</v>
      </c>
      <c r="O11" s="1">
        <f>AVERAGE(Form_Responses[[#This Row],[Critical Thinking '[I verify the accuracy of AI-generated responses'] ]:[Critical Thinking '[AI reduces my ability to think critically'] ]])</f>
        <v>3</v>
      </c>
      <c r="P11" s="1">
        <v>5</v>
      </c>
      <c r="Q11" s="1">
        <v>5</v>
      </c>
      <c r="R11" s="1">
        <v>5</v>
      </c>
      <c r="S11" s="1">
        <v>5</v>
      </c>
      <c r="T11" s="1">
        <f>AVERAGE(Form_Responses[[#This Row],[Personal Use '[I use AI tools for personal purposes beyond academics']]:[Personal Use '[I use AI to explore new ideas or topics out of curiosity']]])</f>
        <v>5</v>
      </c>
    </row>
    <row r="12" spans="1:20" ht="22.5" customHeight="1" x14ac:dyDescent="0.25">
      <c r="A12" s="1">
        <v>4</v>
      </c>
      <c r="B12" s="1">
        <v>4</v>
      </c>
      <c r="C12" s="1">
        <v>5</v>
      </c>
      <c r="D12" s="1">
        <v>4</v>
      </c>
      <c r="E12" s="1">
        <f>AVERAGE(Form_Responses[[#This Row],[AI Usage '[I regularly use AI tools for academic purposes']]:[AI Usage '[I feel dependent on AI tools']]])</f>
        <v>4.25</v>
      </c>
      <c r="F12" s="1">
        <v>3</v>
      </c>
      <c r="G12" s="1">
        <v>4</v>
      </c>
      <c r="H12" s="1">
        <v>4</v>
      </c>
      <c r="I12" s="1">
        <v>4</v>
      </c>
      <c r="J12" s="1">
        <f>AVERAGE(Form_Responses[[#This Row],[Problem Solving Skills '[I am able to solve problems without using AI']  ]:[Problem Solving Skills '[I feel less confident solving problems without AI'] ]])</f>
        <v>3.75</v>
      </c>
      <c r="K12" s="1">
        <v>4</v>
      </c>
      <c r="L12" s="1">
        <v>3</v>
      </c>
      <c r="M12" s="1">
        <v>3</v>
      </c>
      <c r="N12" s="1">
        <v>2</v>
      </c>
      <c r="O12" s="1">
        <f>AVERAGE(Form_Responses[[#This Row],[Critical Thinking '[I verify the accuracy of AI-generated responses'] ]:[Critical Thinking '[AI reduces my ability to think critically'] ]])</f>
        <v>3</v>
      </c>
      <c r="P12" s="1">
        <v>5</v>
      </c>
      <c r="Q12" s="1">
        <v>5</v>
      </c>
      <c r="R12" s="1">
        <v>5</v>
      </c>
      <c r="S12" s="1">
        <v>5</v>
      </c>
      <c r="T12" s="1">
        <f>AVERAGE(Form_Responses[[#This Row],[Personal Use '[I use AI tools for personal purposes beyond academics']]:[Personal Use '[I use AI to explore new ideas or topics out of curiosity']]])</f>
        <v>5</v>
      </c>
    </row>
    <row r="13" spans="1:20" ht="22.5" customHeight="1" x14ac:dyDescent="0.25">
      <c r="A13" s="1">
        <v>3</v>
      </c>
      <c r="B13" s="1">
        <v>5</v>
      </c>
      <c r="C13" s="1">
        <v>5</v>
      </c>
      <c r="D13" s="1">
        <v>5</v>
      </c>
      <c r="E13" s="1">
        <f>AVERAGE(Form_Responses[[#This Row],[AI Usage '[I regularly use AI tools for academic purposes']]:[AI Usage '[I feel dependent on AI tools']]])</f>
        <v>4.5</v>
      </c>
      <c r="F13" s="1">
        <v>3</v>
      </c>
      <c r="G13" s="1">
        <v>3</v>
      </c>
      <c r="H13" s="1">
        <v>3</v>
      </c>
      <c r="I13" s="1">
        <v>3</v>
      </c>
      <c r="J13" s="1">
        <f>AVERAGE(Form_Responses[[#This Row],[Problem Solving Skills '[I am able to solve problems without using AI']  ]:[Problem Solving Skills '[I feel less confident solving problems without AI'] ]])</f>
        <v>3</v>
      </c>
      <c r="K13" s="1">
        <v>3</v>
      </c>
      <c r="L13" s="1">
        <v>3</v>
      </c>
      <c r="M13" s="1">
        <v>3</v>
      </c>
      <c r="N13" s="1">
        <v>3</v>
      </c>
      <c r="O13" s="1">
        <f>AVERAGE(Form_Responses[[#This Row],[Critical Thinking '[I verify the accuracy of AI-generated responses'] ]:[Critical Thinking '[AI reduces my ability to think critically'] ]])</f>
        <v>3</v>
      </c>
      <c r="P13" s="1">
        <v>3</v>
      </c>
      <c r="Q13" s="1">
        <v>3</v>
      </c>
      <c r="R13" s="1">
        <v>3</v>
      </c>
      <c r="S13" s="1">
        <v>3</v>
      </c>
      <c r="T13" s="1">
        <f>AVERAGE(Form_Responses[[#This Row],[Personal Use '[I use AI tools for personal purposes beyond academics']]:[Personal Use '[I use AI to explore new ideas or topics out of curiosity']]])</f>
        <v>3</v>
      </c>
    </row>
    <row r="14" spans="1:20" ht="22.5" customHeight="1" x14ac:dyDescent="0.25">
      <c r="A14" s="1">
        <v>5</v>
      </c>
      <c r="B14" s="1">
        <v>4</v>
      </c>
      <c r="C14" s="1">
        <v>3</v>
      </c>
      <c r="D14" s="1">
        <v>2</v>
      </c>
      <c r="E14" s="1">
        <f>AVERAGE(Form_Responses[[#This Row],[AI Usage '[I regularly use AI tools for academic purposes']]:[AI Usage '[I feel dependent on AI tools']]])</f>
        <v>3.5</v>
      </c>
      <c r="F14" s="1">
        <v>2</v>
      </c>
      <c r="G14" s="1">
        <v>4</v>
      </c>
      <c r="H14" s="1">
        <v>4</v>
      </c>
      <c r="I14" s="1">
        <v>4</v>
      </c>
      <c r="J14" s="1">
        <f>AVERAGE(Form_Responses[[#This Row],[Problem Solving Skills '[I am able to solve problems without using AI']  ]:[Problem Solving Skills '[I feel less confident solving problems without AI'] ]])</f>
        <v>3.5</v>
      </c>
      <c r="K14" s="1">
        <v>3</v>
      </c>
      <c r="L14" s="1">
        <v>5</v>
      </c>
      <c r="M14" s="1">
        <v>3</v>
      </c>
      <c r="N14" s="1">
        <v>3</v>
      </c>
      <c r="O14" s="1">
        <f>AVERAGE(Form_Responses[[#This Row],[Critical Thinking '[I verify the accuracy of AI-generated responses'] ]:[Critical Thinking '[AI reduces my ability to think critically'] ]])</f>
        <v>3.5</v>
      </c>
      <c r="P14" s="1">
        <v>2</v>
      </c>
      <c r="Q14" s="1">
        <v>2</v>
      </c>
      <c r="R14" s="1">
        <v>1</v>
      </c>
      <c r="S14" s="1">
        <v>2</v>
      </c>
      <c r="T14" s="1">
        <f>AVERAGE(Form_Responses[[#This Row],[Personal Use '[I use AI tools for personal purposes beyond academics']]:[Personal Use '[I use AI to explore new ideas or topics out of curiosity']]])</f>
        <v>1.75</v>
      </c>
    </row>
    <row r="15" spans="1:20" ht="22.5" customHeight="1" x14ac:dyDescent="0.25">
      <c r="A15" s="1">
        <v>4</v>
      </c>
      <c r="B15" s="1">
        <v>3</v>
      </c>
      <c r="C15" s="1">
        <v>5</v>
      </c>
      <c r="D15" s="1">
        <v>3</v>
      </c>
      <c r="E15" s="1">
        <f>AVERAGE(Form_Responses[[#This Row],[AI Usage '[I regularly use AI tools for academic purposes']]:[AI Usage '[I feel dependent on AI tools']]])</f>
        <v>3.75</v>
      </c>
      <c r="F15" s="1">
        <v>3</v>
      </c>
      <c r="G15" s="1">
        <v>4</v>
      </c>
      <c r="H15" s="1">
        <v>4</v>
      </c>
      <c r="I15" s="1">
        <v>4</v>
      </c>
      <c r="J15" s="1">
        <f>AVERAGE(Form_Responses[[#This Row],[Problem Solving Skills '[I am able to solve problems without using AI']  ]:[Problem Solving Skills '[I feel less confident solving problems without AI'] ]])</f>
        <v>3.75</v>
      </c>
      <c r="K15" s="1">
        <v>4</v>
      </c>
      <c r="L15" s="1">
        <v>4</v>
      </c>
      <c r="M15" s="1">
        <v>4</v>
      </c>
      <c r="N15" s="1">
        <v>4</v>
      </c>
      <c r="O15" s="1">
        <f>AVERAGE(Form_Responses[[#This Row],[Critical Thinking '[I verify the accuracy of AI-generated responses'] ]:[Critical Thinking '[AI reduces my ability to think critically'] ]])</f>
        <v>4</v>
      </c>
      <c r="P15" s="1">
        <v>3</v>
      </c>
      <c r="Q15" s="1">
        <v>2</v>
      </c>
      <c r="R15" s="1">
        <v>2</v>
      </c>
      <c r="S15" s="1">
        <v>4</v>
      </c>
      <c r="T15" s="1">
        <f>AVERAGE(Form_Responses[[#This Row],[Personal Use '[I use AI tools for personal purposes beyond academics']]:[Personal Use '[I use AI to explore new ideas or topics out of curiosity']]])</f>
        <v>2.75</v>
      </c>
    </row>
    <row r="16" spans="1:20" ht="22.5" customHeight="1" x14ac:dyDescent="0.25">
      <c r="A16" s="1">
        <v>5</v>
      </c>
      <c r="B16" s="1">
        <v>4</v>
      </c>
      <c r="C16" s="1">
        <v>4</v>
      </c>
      <c r="D16" s="1">
        <v>4</v>
      </c>
      <c r="E16" s="1">
        <f>AVERAGE(Form_Responses[[#This Row],[AI Usage '[I regularly use AI tools for academic purposes']]:[AI Usage '[I feel dependent on AI tools']]])</f>
        <v>4.25</v>
      </c>
      <c r="F16" s="1">
        <v>3</v>
      </c>
      <c r="G16" s="1">
        <v>4</v>
      </c>
      <c r="H16" s="1">
        <v>3</v>
      </c>
      <c r="I16" s="1">
        <v>2</v>
      </c>
      <c r="J16" s="1">
        <f>AVERAGE(Form_Responses[[#This Row],[Problem Solving Skills '[I am able to solve problems without using AI']  ]:[Problem Solving Skills '[I feel less confident solving problems without AI'] ]])</f>
        <v>3</v>
      </c>
      <c r="K16" s="1">
        <v>3</v>
      </c>
      <c r="L16" s="1">
        <v>3</v>
      </c>
      <c r="M16" s="1">
        <v>3</v>
      </c>
      <c r="N16" s="1">
        <v>3</v>
      </c>
      <c r="O16" s="1">
        <f>AVERAGE(Form_Responses[[#This Row],[Critical Thinking '[I verify the accuracy of AI-generated responses'] ]:[Critical Thinking '[AI reduces my ability to think critically'] ]])</f>
        <v>3</v>
      </c>
      <c r="P16" s="1">
        <v>4</v>
      </c>
      <c r="Q16" s="1">
        <v>4</v>
      </c>
      <c r="R16" s="1">
        <v>4</v>
      </c>
      <c r="S16" s="1">
        <v>4</v>
      </c>
      <c r="T16" s="1">
        <f>AVERAGE(Form_Responses[[#This Row],[Personal Use '[I use AI tools for personal purposes beyond academics']]:[Personal Use '[I use AI to explore new ideas or topics out of curiosity']]])</f>
        <v>4</v>
      </c>
    </row>
    <row r="17" spans="1:20" ht="22.5" customHeight="1" x14ac:dyDescent="0.25">
      <c r="A17" s="1">
        <v>4</v>
      </c>
      <c r="B17" s="1">
        <v>3</v>
      </c>
      <c r="C17" s="1">
        <v>5</v>
      </c>
      <c r="D17" s="1">
        <v>4</v>
      </c>
      <c r="E17" s="1">
        <f>AVERAGE(Form_Responses[[#This Row],[AI Usage '[I regularly use AI tools for academic purposes']]:[AI Usage '[I feel dependent on AI tools']]])</f>
        <v>4</v>
      </c>
      <c r="F17" s="1">
        <v>4</v>
      </c>
      <c r="G17" s="1">
        <v>3</v>
      </c>
      <c r="H17" s="1">
        <v>4</v>
      </c>
      <c r="I17" s="1">
        <v>4</v>
      </c>
      <c r="J17" s="1">
        <f>AVERAGE(Form_Responses[[#This Row],[Problem Solving Skills '[I am able to solve problems without using AI']  ]:[Problem Solving Skills '[I feel less confident solving problems without AI'] ]])</f>
        <v>3.75</v>
      </c>
      <c r="K17" s="1">
        <v>3</v>
      </c>
      <c r="L17" s="1">
        <v>3</v>
      </c>
      <c r="M17" s="1">
        <v>3</v>
      </c>
      <c r="N17" s="1">
        <v>3</v>
      </c>
      <c r="O17" s="1">
        <f>AVERAGE(Form_Responses[[#This Row],[Critical Thinking '[I verify the accuracy of AI-generated responses'] ]:[Critical Thinking '[AI reduces my ability to think critically'] ]])</f>
        <v>3</v>
      </c>
      <c r="P17" s="1">
        <v>2</v>
      </c>
      <c r="Q17" s="1">
        <v>2</v>
      </c>
      <c r="R17" s="1">
        <v>2</v>
      </c>
      <c r="S17" s="1">
        <v>2</v>
      </c>
      <c r="T17" s="1">
        <f>AVERAGE(Form_Responses[[#This Row],[Personal Use '[I use AI tools for personal purposes beyond academics']]:[Personal Use '[I use AI to explore new ideas or topics out of curiosity']]])</f>
        <v>2</v>
      </c>
    </row>
    <row r="18" spans="1:20" ht="22.5" customHeight="1" x14ac:dyDescent="0.25">
      <c r="A18" s="1">
        <v>4</v>
      </c>
      <c r="B18" s="1">
        <v>4</v>
      </c>
      <c r="C18" s="1">
        <v>4</v>
      </c>
      <c r="D18" s="1">
        <v>4</v>
      </c>
      <c r="E18" s="1">
        <f>AVERAGE(Form_Responses[[#This Row],[AI Usage '[I regularly use AI tools for academic purposes']]:[AI Usage '[I feel dependent on AI tools']]])</f>
        <v>4</v>
      </c>
      <c r="F18" s="1">
        <v>3</v>
      </c>
      <c r="G18" s="1">
        <v>3</v>
      </c>
      <c r="H18" s="1">
        <v>3</v>
      </c>
      <c r="I18" s="1">
        <v>3</v>
      </c>
      <c r="J18" s="1">
        <f>AVERAGE(Form_Responses[[#This Row],[Problem Solving Skills '[I am able to solve problems without using AI']  ]:[Problem Solving Skills '[I feel less confident solving problems without AI'] ]])</f>
        <v>3</v>
      </c>
      <c r="K18" s="1">
        <v>2</v>
      </c>
      <c r="L18" s="1">
        <v>2</v>
      </c>
      <c r="M18" s="1">
        <v>2</v>
      </c>
      <c r="N18" s="1">
        <v>4</v>
      </c>
      <c r="O18" s="1">
        <f>AVERAGE(Form_Responses[[#This Row],[Critical Thinking '[I verify the accuracy of AI-generated responses'] ]:[Critical Thinking '[AI reduces my ability to think critically'] ]])</f>
        <v>2.5</v>
      </c>
      <c r="P18" s="1">
        <v>3</v>
      </c>
      <c r="Q18" s="1">
        <v>3</v>
      </c>
      <c r="R18" s="1">
        <v>3</v>
      </c>
      <c r="S18" s="1">
        <v>3</v>
      </c>
      <c r="T18" s="1">
        <f>AVERAGE(Form_Responses[[#This Row],[Personal Use '[I use AI tools for personal purposes beyond academics']]:[Personal Use '[I use AI to explore new ideas or topics out of curiosity']]])</f>
        <v>3</v>
      </c>
    </row>
    <row r="19" spans="1:20" ht="22.5" customHeight="1" x14ac:dyDescent="0.25">
      <c r="A19" s="1">
        <v>4</v>
      </c>
      <c r="B19" s="1">
        <v>4</v>
      </c>
      <c r="C19" s="1">
        <v>5</v>
      </c>
      <c r="D19" s="1">
        <v>5</v>
      </c>
      <c r="E19" s="1">
        <f>AVERAGE(Form_Responses[[#This Row],[AI Usage '[I regularly use AI tools for academic purposes']]:[AI Usage '[I feel dependent on AI tools']]])</f>
        <v>4.5</v>
      </c>
      <c r="F19" s="1">
        <v>4</v>
      </c>
      <c r="G19" s="1">
        <v>4</v>
      </c>
      <c r="H19" s="1">
        <v>5</v>
      </c>
      <c r="I19" s="1">
        <v>4</v>
      </c>
      <c r="J19" s="1">
        <f>AVERAGE(Form_Responses[[#This Row],[Problem Solving Skills '[I am able to solve problems without using AI']  ]:[Problem Solving Skills '[I feel less confident solving problems without AI'] ]])</f>
        <v>4.25</v>
      </c>
      <c r="K19" s="1">
        <v>4</v>
      </c>
      <c r="L19" s="1">
        <v>4</v>
      </c>
      <c r="M19" s="1">
        <v>5</v>
      </c>
      <c r="N19" s="1">
        <v>2</v>
      </c>
      <c r="O19" s="1">
        <f>AVERAGE(Form_Responses[[#This Row],[Critical Thinking '[I verify the accuracy of AI-generated responses'] ]:[Critical Thinking '[AI reduces my ability to think critically'] ]])</f>
        <v>3.75</v>
      </c>
      <c r="P19" s="1">
        <v>4</v>
      </c>
      <c r="Q19" s="1">
        <v>3</v>
      </c>
      <c r="R19" s="1">
        <v>4</v>
      </c>
      <c r="S19" s="1">
        <v>5</v>
      </c>
      <c r="T19" s="1">
        <f>AVERAGE(Form_Responses[[#This Row],[Personal Use '[I use AI tools for personal purposes beyond academics']]:[Personal Use '[I use AI to explore new ideas or topics out of curiosity']]])</f>
        <v>4</v>
      </c>
    </row>
    <row r="20" spans="1:20" ht="22.5" customHeight="1" x14ac:dyDescent="0.25">
      <c r="A20" s="1">
        <v>4</v>
      </c>
      <c r="B20" s="1">
        <v>4</v>
      </c>
      <c r="C20" s="1">
        <v>4</v>
      </c>
      <c r="D20" s="1">
        <v>4</v>
      </c>
      <c r="E20" s="1">
        <f>AVERAGE(Form_Responses[[#This Row],[AI Usage '[I regularly use AI tools for academic purposes']]:[AI Usage '[I feel dependent on AI tools']]])</f>
        <v>4</v>
      </c>
      <c r="F20" s="1">
        <v>3</v>
      </c>
      <c r="G20" s="1">
        <v>5</v>
      </c>
      <c r="H20" s="1">
        <v>2</v>
      </c>
      <c r="I20" s="1">
        <v>2</v>
      </c>
      <c r="J20" s="1">
        <f>AVERAGE(Form_Responses[[#This Row],[Problem Solving Skills '[I am able to solve problems without using AI']  ]:[Problem Solving Skills '[I feel less confident solving problems without AI'] ]])</f>
        <v>3</v>
      </c>
      <c r="K20" s="1">
        <v>2</v>
      </c>
      <c r="L20" s="1">
        <v>3</v>
      </c>
      <c r="M20" s="1">
        <v>3</v>
      </c>
      <c r="N20" s="1">
        <v>4</v>
      </c>
      <c r="O20" s="1">
        <f>AVERAGE(Form_Responses[[#This Row],[Critical Thinking '[I verify the accuracy of AI-generated responses'] ]:[Critical Thinking '[AI reduces my ability to think critically'] ]])</f>
        <v>3</v>
      </c>
      <c r="P20" s="1">
        <v>4</v>
      </c>
      <c r="Q20" s="1">
        <v>5</v>
      </c>
      <c r="R20" s="1">
        <v>5</v>
      </c>
      <c r="S20" s="1">
        <v>4</v>
      </c>
      <c r="T20" s="1">
        <f>AVERAGE(Form_Responses[[#This Row],[Personal Use '[I use AI tools for personal purposes beyond academics']]:[Personal Use '[I use AI to explore new ideas or topics out of curiosity']]])</f>
        <v>4.5</v>
      </c>
    </row>
    <row r="21" spans="1:20" ht="22.5" customHeight="1" x14ac:dyDescent="0.25">
      <c r="A21" s="1">
        <v>5</v>
      </c>
      <c r="B21" s="1">
        <v>4</v>
      </c>
      <c r="C21" s="1">
        <v>5</v>
      </c>
      <c r="D21" s="1">
        <v>4</v>
      </c>
      <c r="E21" s="1">
        <f>AVERAGE(Form_Responses[[#This Row],[AI Usage '[I regularly use AI tools for academic purposes']]:[AI Usage '[I feel dependent on AI tools']]])</f>
        <v>4.5</v>
      </c>
      <c r="F21" s="1">
        <v>4</v>
      </c>
      <c r="G21" s="1">
        <v>4</v>
      </c>
      <c r="H21" s="1">
        <v>4</v>
      </c>
      <c r="I21" s="1">
        <v>3</v>
      </c>
      <c r="J21" s="1">
        <f>AVERAGE(Form_Responses[[#This Row],[Problem Solving Skills '[I am able to solve problems without using AI']  ]:[Problem Solving Skills '[I feel less confident solving problems without AI'] ]])</f>
        <v>3.75</v>
      </c>
      <c r="K21" s="1">
        <v>4</v>
      </c>
      <c r="L21" s="1">
        <v>4</v>
      </c>
      <c r="M21" s="1">
        <v>4</v>
      </c>
      <c r="N21" s="1">
        <v>2</v>
      </c>
      <c r="O21" s="1">
        <f>AVERAGE(Form_Responses[[#This Row],[Critical Thinking '[I verify the accuracy of AI-generated responses'] ]:[Critical Thinking '[AI reduces my ability to think critically'] ]])</f>
        <v>3.5</v>
      </c>
      <c r="P21" s="1">
        <v>4</v>
      </c>
      <c r="Q21" s="1">
        <v>5</v>
      </c>
      <c r="R21" s="1">
        <v>4</v>
      </c>
      <c r="S21" s="1">
        <v>4</v>
      </c>
      <c r="T21" s="1">
        <f>AVERAGE(Form_Responses[[#This Row],[Personal Use '[I use AI tools for personal purposes beyond academics']]:[Personal Use '[I use AI to explore new ideas or topics out of curiosity']]])</f>
        <v>4.25</v>
      </c>
    </row>
    <row r="22" spans="1:20" ht="22.5" customHeight="1" x14ac:dyDescent="0.25">
      <c r="A22" s="1">
        <v>5</v>
      </c>
      <c r="B22" s="1">
        <v>5</v>
      </c>
      <c r="C22" s="1">
        <v>5</v>
      </c>
      <c r="D22" s="1">
        <v>5</v>
      </c>
      <c r="E22" s="1">
        <f>AVERAGE(Form_Responses[[#This Row],[AI Usage '[I regularly use AI tools for academic purposes']]:[AI Usage '[I feel dependent on AI tools']]])</f>
        <v>5</v>
      </c>
      <c r="F22" s="1">
        <v>5</v>
      </c>
      <c r="G22" s="1">
        <v>5</v>
      </c>
      <c r="H22" s="1">
        <v>2</v>
      </c>
      <c r="I22" s="1">
        <v>2</v>
      </c>
      <c r="J22" s="1">
        <f>AVERAGE(Form_Responses[[#This Row],[Problem Solving Skills '[I am able to solve problems without using AI']  ]:[Problem Solving Skills '[I feel less confident solving problems without AI'] ]])</f>
        <v>3.5</v>
      </c>
      <c r="K22" s="1">
        <v>2</v>
      </c>
      <c r="L22" s="1">
        <v>2</v>
      </c>
      <c r="M22" s="1">
        <v>3</v>
      </c>
      <c r="N22" s="1">
        <v>4</v>
      </c>
      <c r="O22" s="1">
        <f>AVERAGE(Form_Responses[[#This Row],[Critical Thinking '[I verify the accuracy of AI-generated responses'] ]:[Critical Thinking '[AI reduces my ability to think critically'] ]])</f>
        <v>2.75</v>
      </c>
      <c r="P22" s="1">
        <v>5</v>
      </c>
      <c r="Q22" s="1">
        <v>5</v>
      </c>
      <c r="R22" s="1">
        <v>2</v>
      </c>
      <c r="S22" s="1">
        <v>5</v>
      </c>
      <c r="T22" s="1">
        <f>AVERAGE(Form_Responses[[#This Row],[Personal Use '[I use AI tools for personal purposes beyond academics']]:[Personal Use '[I use AI to explore new ideas or topics out of curiosity']]])</f>
        <v>4.25</v>
      </c>
    </row>
    <row r="23" spans="1:20" ht="22.5" customHeight="1" x14ac:dyDescent="0.25">
      <c r="A23" s="1">
        <v>4</v>
      </c>
      <c r="B23" s="1">
        <v>4</v>
      </c>
      <c r="C23" s="1">
        <v>4</v>
      </c>
      <c r="D23" s="1">
        <v>4</v>
      </c>
      <c r="E23" s="1">
        <f>AVERAGE(Form_Responses[[#This Row],[AI Usage '[I regularly use AI tools for academic purposes']]:[AI Usage '[I feel dependent on AI tools']]])</f>
        <v>4</v>
      </c>
      <c r="F23" s="1">
        <v>3</v>
      </c>
      <c r="G23" s="1">
        <v>4</v>
      </c>
      <c r="H23" s="1">
        <v>4</v>
      </c>
      <c r="I23" s="1">
        <v>2</v>
      </c>
      <c r="J23" s="1">
        <f>AVERAGE(Form_Responses[[#This Row],[Problem Solving Skills '[I am able to solve problems without using AI']  ]:[Problem Solving Skills '[I feel less confident solving problems without AI'] ]])</f>
        <v>3.25</v>
      </c>
      <c r="K23" s="1">
        <v>3</v>
      </c>
      <c r="L23" s="1">
        <v>3</v>
      </c>
      <c r="M23" s="1">
        <v>4</v>
      </c>
      <c r="N23" s="1">
        <v>1</v>
      </c>
      <c r="O23" s="1">
        <f>AVERAGE(Form_Responses[[#This Row],[Critical Thinking '[I verify the accuracy of AI-generated responses'] ]:[Critical Thinking '[AI reduces my ability to think critically'] ]])</f>
        <v>2.75</v>
      </c>
      <c r="P23" s="1">
        <v>5</v>
      </c>
      <c r="Q23" s="1">
        <v>5</v>
      </c>
      <c r="R23" s="1">
        <v>5</v>
      </c>
      <c r="S23" s="1">
        <v>5</v>
      </c>
      <c r="T23" s="1">
        <f>AVERAGE(Form_Responses[[#This Row],[Personal Use '[I use AI tools for personal purposes beyond academics']]:[Personal Use '[I use AI to explore new ideas or topics out of curiosity']]])</f>
        <v>5</v>
      </c>
    </row>
    <row r="24" spans="1:20" ht="22.5" customHeight="1" x14ac:dyDescent="0.25">
      <c r="A24" s="1">
        <v>5</v>
      </c>
      <c r="B24" s="1">
        <v>4</v>
      </c>
      <c r="C24" s="1">
        <v>5</v>
      </c>
      <c r="D24" s="1">
        <v>3</v>
      </c>
      <c r="E24" s="1">
        <f>AVERAGE(Form_Responses[[#This Row],[AI Usage '[I regularly use AI tools for academic purposes']]:[AI Usage '[I feel dependent on AI tools']]])</f>
        <v>4.25</v>
      </c>
      <c r="F24" s="1">
        <v>2</v>
      </c>
      <c r="G24" s="1">
        <v>4</v>
      </c>
      <c r="H24" s="1">
        <v>5</v>
      </c>
      <c r="I24" s="1">
        <v>3</v>
      </c>
      <c r="J24" s="1">
        <f>AVERAGE(Form_Responses[[#This Row],[Problem Solving Skills '[I am able to solve problems without using AI']  ]:[Problem Solving Skills '[I feel less confident solving problems without AI'] ]])</f>
        <v>3.5</v>
      </c>
      <c r="K24" s="1">
        <v>4</v>
      </c>
      <c r="L24" s="1">
        <v>4</v>
      </c>
      <c r="M24" s="1">
        <v>4</v>
      </c>
      <c r="N24" s="1">
        <v>2</v>
      </c>
      <c r="O24" s="1">
        <f>AVERAGE(Form_Responses[[#This Row],[Critical Thinking '[I verify the accuracy of AI-generated responses'] ]:[Critical Thinking '[AI reduces my ability to think critically'] ]])</f>
        <v>3.5</v>
      </c>
      <c r="P24" s="1">
        <v>3</v>
      </c>
      <c r="Q24" s="1">
        <v>4</v>
      </c>
      <c r="R24" s="1">
        <v>4</v>
      </c>
      <c r="S24" s="1">
        <v>5</v>
      </c>
      <c r="T24" s="1">
        <f>AVERAGE(Form_Responses[[#This Row],[Personal Use '[I use AI tools for personal purposes beyond academics']]:[Personal Use '[I use AI to explore new ideas or topics out of curiosity']]])</f>
        <v>4</v>
      </c>
    </row>
    <row r="25" spans="1:20" ht="22.5" customHeight="1" x14ac:dyDescent="0.25">
      <c r="A25" s="1">
        <v>4</v>
      </c>
      <c r="B25" s="1">
        <v>4</v>
      </c>
      <c r="C25" s="1">
        <v>3</v>
      </c>
      <c r="D25" s="1">
        <v>3</v>
      </c>
      <c r="E25" s="1">
        <f>AVERAGE(Form_Responses[[#This Row],[AI Usage '[I regularly use AI tools for academic purposes']]:[AI Usage '[I feel dependent on AI tools']]])</f>
        <v>3.5</v>
      </c>
      <c r="F25" s="1">
        <v>4</v>
      </c>
      <c r="G25" s="1">
        <v>4</v>
      </c>
      <c r="H25" s="1">
        <v>4</v>
      </c>
      <c r="I25" s="1">
        <v>4</v>
      </c>
      <c r="J25" s="1">
        <f>AVERAGE(Form_Responses[[#This Row],[Problem Solving Skills '[I am able to solve problems without using AI']  ]:[Problem Solving Skills '[I feel less confident solving problems without AI'] ]])</f>
        <v>4</v>
      </c>
      <c r="K25" s="1">
        <v>2</v>
      </c>
      <c r="L25" s="1">
        <v>4</v>
      </c>
      <c r="M25" s="1">
        <v>4</v>
      </c>
      <c r="N25" s="1">
        <v>3</v>
      </c>
      <c r="O25" s="1">
        <f>AVERAGE(Form_Responses[[#This Row],[Critical Thinking '[I verify the accuracy of AI-generated responses'] ]:[Critical Thinking '[AI reduces my ability to think critically'] ]])</f>
        <v>3.25</v>
      </c>
      <c r="P25" s="1">
        <v>4</v>
      </c>
      <c r="Q25" s="1">
        <v>4</v>
      </c>
      <c r="R25" s="1">
        <v>4</v>
      </c>
      <c r="S25" s="1">
        <v>4</v>
      </c>
      <c r="T25" s="1">
        <f>AVERAGE(Form_Responses[[#This Row],[Personal Use '[I use AI tools for personal purposes beyond academics']]:[Personal Use '[I use AI to explore new ideas or topics out of curiosity']]])</f>
        <v>4</v>
      </c>
    </row>
    <row r="26" spans="1:20" ht="22.5" customHeight="1" x14ac:dyDescent="0.25">
      <c r="A26" s="1">
        <v>4</v>
      </c>
      <c r="B26" s="1">
        <v>5</v>
      </c>
      <c r="C26" s="1">
        <v>5</v>
      </c>
      <c r="D26" s="1">
        <v>5</v>
      </c>
      <c r="E26" s="1">
        <f>AVERAGE(Form_Responses[[#This Row],[AI Usage '[I regularly use AI tools for academic purposes']]:[AI Usage '[I feel dependent on AI tools']]])</f>
        <v>4.75</v>
      </c>
      <c r="F26" s="1">
        <v>3</v>
      </c>
      <c r="G26" s="1">
        <v>5</v>
      </c>
      <c r="H26" s="1">
        <v>5</v>
      </c>
      <c r="I26" s="1">
        <v>2</v>
      </c>
      <c r="J26" s="1">
        <f>AVERAGE(Form_Responses[[#This Row],[Problem Solving Skills '[I am able to solve problems without using AI']  ]:[Problem Solving Skills '[I feel less confident solving problems without AI'] ]])</f>
        <v>3.75</v>
      </c>
      <c r="K26" s="1">
        <v>4</v>
      </c>
      <c r="L26" s="1">
        <v>5</v>
      </c>
      <c r="M26" s="1">
        <v>5</v>
      </c>
      <c r="N26" s="1">
        <v>2</v>
      </c>
      <c r="O26" s="1">
        <f>AVERAGE(Form_Responses[[#This Row],[Critical Thinking '[I verify the accuracy of AI-generated responses'] ]:[Critical Thinking '[AI reduces my ability to think critically'] ]])</f>
        <v>4</v>
      </c>
      <c r="P26" s="1">
        <v>5</v>
      </c>
      <c r="Q26" s="1">
        <v>5</v>
      </c>
      <c r="R26" s="1">
        <v>5</v>
      </c>
      <c r="S26" s="1">
        <v>5</v>
      </c>
      <c r="T26" s="1">
        <f>AVERAGE(Form_Responses[[#This Row],[Personal Use '[I use AI tools for personal purposes beyond academics']]:[Personal Use '[I use AI to explore new ideas or topics out of curiosity']]])</f>
        <v>5</v>
      </c>
    </row>
    <row r="27" spans="1:20" ht="22.5" customHeight="1" x14ac:dyDescent="0.25">
      <c r="A27" s="1">
        <v>4</v>
      </c>
      <c r="B27" s="1">
        <v>3</v>
      </c>
      <c r="C27" s="1">
        <v>4</v>
      </c>
      <c r="D27" s="1">
        <v>4</v>
      </c>
      <c r="E27" s="1">
        <f>AVERAGE(Form_Responses[[#This Row],[AI Usage '[I regularly use AI tools for academic purposes']]:[AI Usage '[I feel dependent on AI tools']]])</f>
        <v>3.75</v>
      </c>
      <c r="F27" s="1">
        <v>3</v>
      </c>
      <c r="G27" s="1">
        <v>4</v>
      </c>
      <c r="H27" s="1">
        <v>4</v>
      </c>
      <c r="I27" s="1">
        <v>4</v>
      </c>
      <c r="J27" s="1">
        <f>AVERAGE(Form_Responses[[#This Row],[Problem Solving Skills '[I am able to solve problems without using AI']  ]:[Problem Solving Skills '[I feel less confident solving problems without AI'] ]])</f>
        <v>3.75</v>
      </c>
      <c r="K27" s="1">
        <v>4</v>
      </c>
      <c r="L27" s="1">
        <v>4</v>
      </c>
      <c r="M27" s="1">
        <v>4</v>
      </c>
      <c r="N27" s="1">
        <v>3</v>
      </c>
      <c r="O27" s="1">
        <f>AVERAGE(Form_Responses[[#This Row],[Critical Thinking '[I verify the accuracy of AI-generated responses'] ]:[Critical Thinking '[AI reduces my ability to think critically'] ]])</f>
        <v>3.75</v>
      </c>
      <c r="P27" s="1">
        <v>2</v>
      </c>
      <c r="Q27" s="1">
        <v>4</v>
      </c>
      <c r="R27" s="1">
        <v>3</v>
      </c>
      <c r="S27" s="1">
        <v>4</v>
      </c>
      <c r="T27" s="1">
        <f>AVERAGE(Form_Responses[[#This Row],[Personal Use '[I use AI tools for personal purposes beyond academics']]:[Personal Use '[I use AI to explore new ideas or topics out of curiosity']]])</f>
        <v>3.25</v>
      </c>
    </row>
    <row r="28" spans="1:20" ht="22.5" customHeight="1" x14ac:dyDescent="0.25">
      <c r="A28" s="1">
        <v>4</v>
      </c>
      <c r="B28" s="1">
        <v>3</v>
      </c>
      <c r="C28" s="1">
        <v>4</v>
      </c>
      <c r="D28" s="1">
        <v>3</v>
      </c>
      <c r="E28" s="1">
        <f>AVERAGE(Form_Responses[[#This Row],[AI Usage '[I regularly use AI tools for academic purposes']]:[AI Usage '[I feel dependent on AI tools']]])</f>
        <v>3.5</v>
      </c>
      <c r="F28" s="1">
        <v>3</v>
      </c>
      <c r="G28" s="1">
        <v>4</v>
      </c>
      <c r="H28" s="1">
        <v>3</v>
      </c>
      <c r="I28" s="1">
        <v>4</v>
      </c>
      <c r="J28" s="1">
        <f>AVERAGE(Form_Responses[[#This Row],[Problem Solving Skills '[I am able to solve problems without using AI']  ]:[Problem Solving Skills '[I feel less confident solving problems without AI'] ]])</f>
        <v>3.5</v>
      </c>
      <c r="K28" s="1">
        <v>3</v>
      </c>
      <c r="L28" s="1">
        <v>3</v>
      </c>
      <c r="M28" s="1">
        <v>3</v>
      </c>
      <c r="N28" s="1">
        <v>3</v>
      </c>
      <c r="O28" s="1">
        <f>AVERAGE(Form_Responses[[#This Row],[Critical Thinking '[I verify the accuracy of AI-generated responses'] ]:[Critical Thinking '[AI reduces my ability to think critically'] ]])</f>
        <v>3</v>
      </c>
      <c r="P28" s="1">
        <v>4</v>
      </c>
      <c r="Q28" s="1">
        <v>3</v>
      </c>
      <c r="R28" s="1">
        <v>3</v>
      </c>
      <c r="S28" s="1">
        <v>4</v>
      </c>
      <c r="T28" s="1">
        <f>AVERAGE(Form_Responses[[#This Row],[Personal Use '[I use AI tools for personal purposes beyond academics']]:[Personal Use '[I use AI to explore new ideas or topics out of curiosity']]])</f>
        <v>3.5</v>
      </c>
    </row>
    <row r="29" spans="1:20" ht="22.5" customHeight="1" x14ac:dyDescent="0.25">
      <c r="A29" s="1">
        <v>5</v>
      </c>
      <c r="B29" s="1">
        <v>4</v>
      </c>
      <c r="C29" s="1">
        <v>3</v>
      </c>
      <c r="D29" s="1">
        <v>3</v>
      </c>
      <c r="E29" s="1">
        <f>AVERAGE(Form_Responses[[#This Row],[AI Usage '[I regularly use AI tools for academic purposes']]:[AI Usage '[I feel dependent on AI tools']]])</f>
        <v>3.75</v>
      </c>
      <c r="F29" s="1">
        <v>2</v>
      </c>
      <c r="G29" s="1">
        <v>2</v>
      </c>
      <c r="H29" s="1">
        <v>1</v>
      </c>
      <c r="I29" s="1">
        <v>4</v>
      </c>
      <c r="J29" s="1">
        <f>AVERAGE(Form_Responses[[#This Row],[Problem Solving Skills '[I am able to solve problems without using AI']  ]:[Problem Solving Skills '[I feel less confident solving problems without AI'] ]])</f>
        <v>2.25</v>
      </c>
      <c r="K29" s="1">
        <v>2</v>
      </c>
      <c r="L29" s="1">
        <v>1</v>
      </c>
      <c r="M29" s="1">
        <v>2</v>
      </c>
      <c r="N29" s="1">
        <v>2</v>
      </c>
      <c r="O29" s="1">
        <f>AVERAGE(Form_Responses[[#This Row],[Critical Thinking '[I verify the accuracy of AI-generated responses'] ]:[Critical Thinking '[AI reduces my ability to think critically'] ]])</f>
        <v>1.75</v>
      </c>
      <c r="P29" s="1">
        <v>2</v>
      </c>
      <c r="Q29" s="1">
        <v>1</v>
      </c>
      <c r="R29" s="1">
        <v>4</v>
      </c>
      <c r="S29" s="1">
        <v>5</v>
      </c>
      <c r="T29" s="1">
        <f>AVERAGE(Form_Responses[[#This Row],[Personal Use '[I use AI tools for personal purposes beyond academics']]:[Personal Use '[I use AI to explore new ideas or topics out of curiosity']]])</f>
        <v>3</v>
      </c>
    </row>
    <row r="30" spans="1:20" ht="22.5" customHeight="1" x14ac:dyDescent="0.25">
      <c r="A30" s="1">
        <v>5</v>
      </c>
      <c r="B30" s="1">
        <v>5</v>
      </c>
      <c r="C30" s="1">
        <v>5</v>
      </c>
      <c r="D30" s="1">
        <v>5</v>
      </c>
      <c r="E30" s="1">
        <f>AVERAGE(Form_Responses[[#This Row],[AI Usage '[I regularly use AI tools for academic purposes']]:[AI Usage '[I feel dependent on AI tools']]])</f>
        <v>5</v>
      </c>
      <c r="F30" s="1">
        <v>4</v>
      </c>
      <c r="G30" s="1">
        <v>4</v>
      </c>
      <c r="H30" s="1">
        <v>3</v>
      </c>
      <c r="I30" s="1">
        <v>2</v>
      </c>
      <c r="J30" s="1">
        <f>AVERAGE(Form_Responses[[#This Row],[Problem Solving Skills '[I am able to solve problems without using AI']  ]:[Problem Solving Skills '[I feel less confident solving problems without AI'] ]])</f>
        <v>3.25</v>
      </c>
      <c r="K30" s="1">
        <v>1</v>
      </c>
      <c r="L30" s="1">
        <v>3</v>
      </c>
      <c r="M30" s="1">
        <v>3</v>
      </c>
      <c r="N30" s="1">
        <v>1</v>
      </c>
      <c r="O30" s="1">
        <f>AVERAGE(Form_Responses[[#This Row],[Critical Thinking '[I verify the accuracy of AI-generated responses'] ]:[Critical Thinking '[AI reduces my ability to think critically'] ]])</f>
        <v>2</v>
      </c>
      <c r="P30" s="1">
        <v>5</v>
      </c>
      <c r="Q30" s="1">
        <v>3</v>
      </c>
      <c r="R30" s="1">
        <v>4</v>
      </c>
      <c r="S30" s="1">
        <v>5</v>
      </c>
      <c r="T30" s="1">
        <f>AVERAGE(Form_Responses[[#This Row],[Personal Use '[I use AI tools for personal purposes beyond academics']]:[Personal Use '[I use AI to explore new ideas or topics out of curiosity']]])</f>
        <v>4.25</v>
      </c>
    </row>
    <row r="31" spans="1:20" ht="22.5" customHeight="1" x14ac:dyDescent="0.25">
      <c r="A31" s="1">
        <v>3</v>
      </c>
      <c r="B31" s="1">
        <v>2</v>
      </c>
      <c r="C31" s="1">
        <v>4</v>
      </c>
      <c r="D31" s="1">
        <v>3</v>
      </c>
      <c r="E31" s="1">
        <f>AVERAGE(Form_Responses[[#This Row],[AI Usage '[I regularly use AI tools for academic purposes']]:[AI Usage '[I feel dependent on AI tools']]])</f>
        <v>3</v>
      </c>
      <c r="F31" s="1">
        <v>4</v>
      </c>
      <c r="G31" s="1">
        <v>4</v>
      </c>
      <c r="H31" s="1">
        <v>3</v>
      </c>
      <c r="I31" s="1">
        <v>3</v>
      </c>
      <c r="J31" s="1">
        <f>AVERAGE(Form_Responses[[#This Row],[Problem Solving Skills '[I am able to solve problems without using AI']  ]:[Problem Solving Skills '[I feel less confident solving problems without AI'] ]])</f>
        <v>3.5</v>
      </c>
      <c r="K31" s="1">
        <v>3</v>
      </c>
      <c r="L31" s="1">
        <v>3</v>
      </c>
      <c r="M31" s="1">
        <v>3</v>
      </c>
      <c r="N31" s="1">
        <v>4</v>
      </c>
      <c r="O31" s="1">
        <f>AVERAGE(Form_Responses[[#This Row],[Critical Thinking '[I verify the accuracy of AI-generated responses'] ]:[Critical Thinking '[AI reduces my ability to think critically'] ]])</f>
        <v>3.25</v>
      </c>
      <c r="P31" s="1">
        <v>3</v>
      </c>
      <c r="Q31" s="1">
        <v>4</v>
      </c>
      <c r="R31" s="1">
        <v>4</v>
      </c>
      <c r="S31" s="1">
        <v>4</v>
      </c>
      <c r="T31" s="1">
        <f>AVERAGE(Form_Responses[[#This Row],[Personal Use '[I use AI tools for personal purposes beyond academics']]:[Personal Use '[I use AI to explore new ideas or topics out of curiosity']]])</f>
        <v>3.75</v>
      </c>
    </row>
    <row r="32" spans="1:20" ht="22.5" customHeight="1" x14ac:dyDescent="0.25">
      <c r="A32" s="1">
        <v>4</v>
      </c>
      <c r="B32" s="1">
        <v>4</v>
      </c>
      <c r="C32" s="1">
        <v>2</v>
      </c>
      <c r="D32" s="1">
        <v>3</v>
      </c>
      <c r="E32" s="1">
        <f>AVERAGE(Form_Responses[[#This Row],[AI Usage '[I regularly use AI tools for academic purposes']]:[AI Usage '[I feel dependent on AI tools']]])</f>
        <v>3.25</v>
      </c>
      <c r="F32" s="1">
        <v>4</v>
      </c>
      <c r="G32" s="1">
        <v>2</v>
      </c>
      <c r="H32" s="1">
        <v>4</v>
      </c>
      <c r="I32" s="1">
        <v>4</v>
      </c>
      <c r="J32" s="1">
        <f>AVERAGE(Form_Responses[[#This Row],[Problem Solving Skills '[I am able to solve problems without using AI']  ]:[Problem Solving Skills '[I feel less confident solving problems without AI'] ]])</f>
        <v>3.5</v>
      </c>
      <c r="K32" s="1">
        <v>4</v>
      </c>
      <c r="L32" s="1">
        <v>4</v>
      </c>
      <c r="M32" s="1">
        <v>4</v>
      </c>
      <c r="N32" s="1">
        <v>4</v>
      </c>
      <c r="O32" s="1">
        <f>AVERAGE(Form_Responses[[#This Row],[Critical Thinking '[I verify the accuracy of AI-generated responses'] ]:[Critical Thinking '[AI reduces my ability to think critically'] ]])</f>
        <v>4</v>
      </c>
      <c r="P32" s="1">
        <v>2</v>
      </c>
      <c r="Q32" s="1">
        <v>2</v>
      </c>
      <c r="R32" s="1">
        <v>4</v>
      </c>
      <c r="S32" s="1">
        <v>2</v>
      </c>
      <c r="T32" s="1">
        <f>AVERAGE(Form_Responses[[#This Row],[Personal Use '[I use AI tools for personal purposes beyond academics']]:[Personal Use '[I use AI to explore new ideas or topics out of curiosity']]])</f>
        <v>2.5</v>
      </c>
    </row>
    <row r="33" spans="1:20" ht="22.5" customHeight="1" x14ac:dyDescent="0.25">
      <c r="A33" s="1">
        <v>5</v>
      </c>
      <c r="B33" s="1">
        <v>4</v>
      </c>
      <c r="C33" s="1">
        <v>5</v>
      </c>
      <c r="D33" s="1">
        <v>4</v>
      </c>
      <c r="E33" s="1">
        <f>AVERAGE(Form_Responses[[#This Row],[AI Usage '[I regularly use AI tools for academic purposes']]:[AI Usage '[I feel dependent on AI tools']]])</f>
        <v>4.5</v>
      </c>
      <c r="F33" s="1">
        <v>3</v>
      </c>
      <c r="G33" s="1">
        <v>4</v>
      </c>
      <c r="H33" s="1">
        <v>5</v>
      </c>
      <c r="I33" s="1">
        <v>1</v>
      </c>
      <c r="J33" s="1">
        <f>AVERAGE(Form_Responses[[#This Row],[Problem Solving Skills '[I am able to solve problems without using AI']  ]:[Problem Solving Skills '[I feel less confident solving problems without AI'] ]])</f>
        <v>3.25</v>
      </c>
      <c r="K33" s="1">
        <v>5</v>
      </c>
      <c r="L33" s="1">
        <v>5</v>
      </c>
      <c r="M33" s="1">
        <v>5</v>
      </c>
      <c r="N33" s="1">
        <v>2</v>
      </c>
      <c r="O33" s="1">
        <f>AVERAGE(Form_Responses[[#This Row],[Critical Thinking '[I verify the accuracy of AI-generated responses'] ]:[Critical Thinking '[AI reduces my ability to think critically'] ]])</f>
        <v>4.25</v>
      </c>
      <c r="P33" s="1">
        <v>5</v>
      </c>
      <c r="Q33" s="1">
        <v>5</v>
      </c>
      <c r="R33" s="1">
        <v>5</v>
      </c>
      <c r="S33" s="1">
        <v>5</v>
      </c>
      <c r="T33" s="1">
        <f>AVERAGE(Form_Responses[[#This Row],[Personal Use '[I use AI tools for personal purposes beyond academics']]:[Personal Use '[I use AI to explore new ideas or topics out of curiosity']]])</f>
        <v>5</v>
      </c>
    </row>
    <row r="34" spans="1:20" ht="22.5" customHeight="1" x14ac:dyDescent="0.25">
      <c r="A34" s="1">
        <v>1</v>
      </c>
      <c r="B34" s="1">
        <v>1</v>
      </c>
      <c r="C34" s="1">
        <v>1</v>
      </c>
      <c r="D34" s="1">
        <v>1</v>
      </c>
      <c r="E34" s="1">
        <f>AVERAGE(Form_Responses[[#This Row],[AI Usage '[I regularly use AI tools for academic purposes']]:[AI Usage '[I feel dependent on AI tools']]])</f>
        <v>1</v>
      </c>
      <c r="F34" s="1">
        <v>4</v>
      </c>
      <c r="G34" s="1">
        <v>1</v>
      </c>
      <c r="H34" s="1">
        <v>5</v>
      </c>
      <c r="I34" s="1">
        <v>4</v>
      </c>
      <c r="J34" s="1">
        <f>AVERAGE(Form_Responses[[#This Row],[Problem Solving Skills '[I am able to solve problems without using AI']  ]:[Problem Solving Skills '[I feel less confident solving problems without AI'] ]])</f>
        <v>3.5</v>
      </c>
      <c r="K34" s="1">
        <v>5</v>
      </c>
      <c r="L34" s="1">
        <v>5</v>
      </c>
      <c r="M34" s="1">
        <v>5</v>
      </c>
      <c r="N34" s="1">
        <v>5</v>
      </c>
      <c r="O34" s="1">
        <f>AVERAGE(Form_Responses[[#This Row],[Critical Thinking '[I verify the accuracy of AI-generated responses'] ]:[Critical Thinking '[AI reduces my ability to think critically'] ]])</f>
        <v>5</v>
      </c>
      <c r="P34" s="1">
        <v>1</v>
      </c>
      <c r="Q34" s="1">
        <v>1</v>
      </c>
      <c r="R34" s="1">
        <v>1</v>
      </c>
      <c r="S34" s="1">
        <v>1</v>
      </c>
      <c r="T34" s="1">
        <f>AVERAGE(Form_Responses[[#This Row],[Personal Use '[I use AI tools for personal purposes beyond academics']]:[Personal Use '[I use AI to explore new ideas or topics out of curiosity']]])</f>
        <v>1</v>
      </c>
    </row>
    <row r="35" spans="1:20" ht="22.5" customHeight="1" x14ac:dyDescent="0.25">
      <c r="A35" s="1">
        <v>4</v>
      </c>
      <c r="B35" s="1">
        <v>2</v>
      </c>
      <c r="C35" s="1">
        <v>5</v>
      </c>
      <c r="D35" s="1">
        <v>1</v>
      </c>
      <c r="E35" s="1">
        <f>AVERAGE(Form_Responses[[#This Row],[AI Usage '[I regularly use AI tools for academic purposes']]:[AI Usage '[I feel dependent on AI tools']]])</f>
        <v>3</v>
      </c>
      <c r="F35" s="1">
        <v>4</v>
      </c>
      <c r="G35" s="1">
        <v>4</v>
      </c>
      <c r="H35" s="1">
        <v>4</v>
      </c>
      <c r="I35" s="1">
        <v>2</v>
      </c>
      <c r="J35" s="1">
        <f>AVERAGE(Form_Responses[[#This Row],[Problem Solving Skills '[I am able to solve problems without using AI']  ]:[Problem Solving Skills '[I feel less confident solving problems without AI'] ]])</f>
        <v>3.5</v>
      </c>
      <c r="K35" s="1">
        <v>4</v>
      </c>
      <c r="L35" s="1">
        <v>2</v>
      </c>
      <c r="M35" s="1">
        <v>3</v>
      </c>
      <c r="N35" s="1">
        <v>1</v>
      </c>
      <c r="O35" s="1">
        <f>AVERAGE(Form_Responses[[#This Row],[Critical Thinking '[I verify the accuracy of AI-generated responses'] ]:[Critical Thinking '[AI reduces my ability to think critically'] ]])</f>
        <v>2.5</v>
      </c>
      <c r="P35" s="1">
        <v>2</v>
      </c>
      <c r="Q35" s="1">
        <v>3</v>
      </c>
      <c r="R35" s="1">
        <v>4</v>
      </c>
      <c r="S35" s="1">
        <v>5</v>
      </c>
      <c r="T35" s="1">
        <f>AVERAGE(Form_Responses[[#This Row],[Personal Use '[I use AI tools for personal purposes beyond academics']]:[Personal Use '[I use AI to explore new ideas or topics out of curiosity']]])</f>
        <v>3.5</v>
      </c>
    </row>
    <row r="36" spans="1:20" ht="22.5" customHeight="1" x14ac:dyDescent="0.25">
      <c r="A36" s="1">
        <v>2</v>
      </c>
      <c r="B36" s="1">
        <v>3</v>
      </c>
      <c r="C36" s="1">
        <v>4</v>
      </c>
      <c r="D36" s="1">
        <v>3</v>
      </c>
      <c r="E36" s="1">
        <f>AVERAGE(Form_Responses[[#This Row],[AI Usage '[I regularly use AI tools for academic purposes']]:[AI Usage '[I feel dependent on AI tools']]])</f>
        <v>3</v>
      </c>
      <c r="F36" s="1">
        <v>2</v>
      </c>
      <c r="G36" s="1">
        <v>2</v>
      </c>
      <c r="H36" s="1">
        <v>2</v>
      </c>
      <c r="I36" s="1">
        <v>2</v>
      </c>
      <c r="J36" s="1">
        <f>AVERAGE(Form_Responses[[#This Row],[Problem Solving Skills '[I am able to solve problems without using AI']  ]:[Problem Solving Skills '[I feel less confident solving problems without AI'] ]])</f>
        <v>2</v>
      </c>
      <c r="K36" s="1">
        <v>2</v>
      </c>
      <c r="L36" s="1">
        <v>3</v>
      </c>
      <c r="M36" s="1">
        <v>4</v>
      </c>
      <c r="N36" s="1">
        <v>3</v>
      </c>
      <c r="O36" s="1">
        <f>AVERAGE(Form_Responses[[#This Row],[Critical Thinking '[I verify the accuracy of AI-generated responses'] ]:[Critical Thinking '[AI reduces my ability to think critically'] ]])</f>
        <v>3</v>
      </c>
      <c r="P36" s="1">
        <v>2</v>
      </c>
      <c r="Q36" s="1">
        <v>1</v>
      </c>
      <c r="R36" s="1">
        <v>2</v>
      </c>
      <c r="S36" s="1">
        <v>2</v>
      </c>
      <c r="T36" s="1">
        <f>AVERAGE(Form_Responses[[#This Row],[Personal Use '[I use AI tools for personal purposes beyond academics']]:[Personal Use '[I use AI to explore new ideas or topics out of curiosity']]])</f>
        <v>1.75</v>
      </c>
    </row>
    <row r="37" spans="1:20" ht="22.5" customHeight="1" x14ac:dyDescent="0.25">
      <c r="A37" s="1">
        <v>4</v>
      </c>
      <c r="B37" s="1">
        <v>4</v>
      </c>
      <c r="C37" s="1">
        <v>5</v>
      </c>
      <c r="D37" s="1">
        <v>3</v>
      </c>
      <c r="E37" s="1">
        <f>AVERAGE(Form_Responses[[#This Row],[AI Usage '[I regularly use AI tools for academic purposes']]:[AI Usage '[I feel dependent on AI tools']]])</f>
        <v>4</v>
      </c>
      <c r="F37" s="1">
        <v>3</v>
      </c>
      <c r="G37" s="1">
        <v>4</v>
      </c>
      <c r="H37" s="1">
        <v>3</v>
      </c>
      <c r="I37" s="1">
        <v>4</v>
      </c>
      <c r="J37" s="1">
        <f>AVERAGE(Form_Responses[[#This Row],[Problem Solving Skills '[I am able to solve problems without using AI']  ]:[Problem Solving Skills '[I feel less confident solving problems without AI'] ]])</f>
        <v>3.5</v>
      </c>
      <c r="K37" s="1">
        <v>3</v>
      </c>
      <c r="L37" s="1">
        <v>4</v>
      </c>
      <c r="M37" s="1">
        <v>3</v>
      </c>
      <c r="N37" s="1">
        <v>3</v>
      </c>
      <c r="O37" s="1">
        <f>AVERAGE(Form_Responses[[#This Row],[Critical Thinking '[I verify the accuracy of AI-generated responses'] ]:[Critical Thinking '[AI reduces my ability to think critically'] ]])</f>
        <v>3.25</v>
      </c>
      <c r="P37" s="1">
        <v>2</v>
      </c>
      <c r="Q37" s="1">
        <v>3</v>
      </c>
      <c r="R37" s="1">
        <v>2</v>
      </c>
      <c r="S37" s="1">
        <v>2</v>
      </c>
      <c r="T37" s="1">
        <f>AVERAGE(Form_Responses[[#This Row],[Personal Use '[I use AI tools for personal purposes beyond academics']]:[Personal Use '[I use AI to explore new ideas or topics out of curiosity']]])</f>
        <v>2.25</v>
      </c>
    </row>
    <row r="38" spans="1:20" ht="22.5" customHeight="1" x14ac:dyDescent="0.25">
      <c r="A38" s="1">
        <v>4</v>
      </c>
      <c r="B38" s="1">
        <v>4</v>
      </c>
      <c r="C38" s="1">
        <v>4</v>
      </c>
      <c r="D38" s="1">
        <v>4</v>
      </c>
      <c r="E38" s="1">
        <f>AVERAGE(Form_Responses[[#This Row],[AI Usage '[I regularly use AI tools for academic purposes']]:[AI Usage '[I feel dependent on AI tools']]])</f>
        <v>4</v>
      </c>
      <c r="F38" s="1">
        <v>5</v>
      </c>
      <c r="G38" s="1">
        <v>4</v>
      </c>
      <c r="H38" s="1">
        <v>5</v>
      </c>
      <c r="I38" s="1">
        <v>2</v>
      </c>
      <c r="J38" s="1">
        <f>AVERAGE(Form_Responses[[#This Row],[Problem Solving Skills '[I am able to solve problems without using AI']  ]:[Problem Solving Skills '[I feel less confident solving problems without AI'] ]])</f>
        <v>4</v>
      </c>
      <c r="K38" s="1">
        <v>5</v>
      </c>
      <c r="L38" s="1">
        <v>4</v>
      </c>
      <c r="M38" s="1">
        <v>4</v>
      </c>
      <c r="N38" s="1">
        <v>1</v>
      </c>
      <c r="O38" s="1">
        <f>AVERAGE(Form_Responses[[#This Row],[Critical Thinking '[I verify the accuracy of AI-generated responses'] ]:[Critical Thinking '[AI reduces my ability to think critically'] ]])</f>
        <v>3.5</v>
      </c>
      <c r="P38" s="1">
        <v>5</v>
      </c>
      <c r="Q38" s="1">
        <v>5</v>
      </c>
      <c r="R38" s="1">
        <v>5</v>
      </c>
      <c r="S38" s="1">
        <v>5</v>
      </c>
      <c r="T38" s="1">
        <f>AVERAGE(Form_Responses[[#This Row],[Personal Use '[I use AI tools for personal purposes beyond academics']]:[Personal Use '[I use AI to explore new ideas or topics out of curiosity']]])</f>
        <v>5</v>
      </c>
    </row>
    <row r="39" spans="1:20" ht="22.5" customHeight="1" x14ac:dyDescent="0.25">
      <c r="A39" s="1">
        <v>3</v>
      </c>
      <c r="B39" s="1">
        <v>3</v>
      </c>
      <c r="C39" s="1">
        <v>3</v>
      </c>
      <c r="D39" s="1">
        <v>3</v>
      </c>
      <c r="E39" s="1">
        <f>AVERAGE(Form_Responses[[#This Row],[AI Usage '[I regularly use AI tools for academic purposes']]:[AI Usage '[I feel dependent on AI tools']]])</f>
        <v>3</v>
      </c>
      <c r="F39" s="1">
        <v>3</v>
      </c>
      <c r="G39" s="1">
        <v>3</v>
      </c>
      <c r="H39" s="1">
        <v>3</v>
      </c>
      <c r="I39" s="1">
        <v>3</v>
      </c>
      <c r="J39" s="1">
        <f>AVERAGE(Form_Responses[[#This Row],[Problem Solving Skills '[I am able to solve problems without using AI']  ]:[Problem Solving Skills '[I feel less confident solving problems without AI'] ]])</f>
        <v>3</v>
      </c>
      <c r="K39" s="1">
        <v>2</v>
      </c>
      <c r="L39" s="1">
        <v>2</v>
      </c>
      <c r="M39" s="1">
        <v>2</v>
      </c>
      <c r="N39" s="1">
        <v>4</v>
      </c>
      <c r="O39" s="1">
        <f>AVERAGE(Form_Responses[[#This Row],[Critical Thinking '[I verify the accuracy of AI-generated responses'] ]:[Critical Thinking '[AI reduces my ability to think critically'] ]])</f>
        <v>2.5</v>
      </c>
      <c r="P39" s="1">
        <v>2</v>
      </c>
      <c r="Q39" s="1">
        <v>2</v>
      </c>
      <c r="R39" s="1">
        <v>2</v>
      </c>
      <c r="S39" s="1">
        <v>2</v>
      </c>
      <c r="T39" s="1">
        <f>AVERAGE(Form_Responses[[#This Row],[Personal Use '[I use AI tools for personal purposes beyond academics']]:[Personal Use '[I use AI to explore new ideas or topics out of curiosity']]])</f>
        <v>2</v>
      </c>
    </row>
    <row r="40" spans="1:20" ht="22.5" customHeight="1" x14ac:dyDescent="0.25">
      <c r="A40" s="1">
        <v>4</v>
      </c>
      <c r="B40" s="1">
        <v>3</v>
      </c>
      <c r="C40" s="1">
        <v>5</v>
      </c>
      <c r="D40" s="1">
        <v>3</v>
      </c>
      <c r="E40" s="1">
        <f>AVERAGE(Form_Responses[[#This Row],[AI Usage '[I regularly use AI tools for academic purposes']]:[AI Usage '[I feel dependent on AI tools']]])</f>
        <v>3.75</v>
      </c>
      <c r="F40" s="1">
        <v>3</v>
      </c>
      <c r="G40" s="1">
        <v>3</v>
      </c>
      <c r="H40" s="1">
        <v>5</v>
      </c>
      <c r="I40" s="1">
        <v>5</v>
      </c>
      <c r="J40" s="1">
        <f>AVERAGE(Form_Responses[[#This Row],[Problem Solving Skills '[I am able to solve problems without using AI']  ]:[Problem Solving Skills '[I feel less confident solving problems without AI'] ]])</f>
        <v>4</v>
      </c>
      <c r="K40" s="1">
        <v>4</v>
      </c>
      <c r="L40" s="1">
        <v>3</v>
      </c>
      <c r="M40" s="1">
        <v>5</v>
      </c>
      <c r="N40" s="1">
        <v>4</v>
      </c>
      <c r="O40" s="1">
        <f>AVERAGE(Form_Responses[[#This Row],[Critical Thinking '[I verify the accuracy of AI-generated responses'] ]:[Critical Thinking '[AI reduces my ability to think critically'] ]])</f>
        <v>4</v>
      </c>
      <c r="P40" s="1">
        <v>3</v>
      </c>
      <c r="Q40" s="1">
        <v>4</v>
      </c>
      <c r="R40" s="1">
        <v>5</v>
      </c>
      <c r="S40" s="1">
        <v>5</v>
      </c>
      <c r="T40" s="1">
        <f>AVERAGE(Form_Responses[[#This Row],[Personal Use '[I use AI tools for personal purposes beyond academics']]:[Personal Use '[I use AI to explore new ideas or topics out of curiosity']]])</f>
        <v>4.25</v>
      </c>
    </row>
    <row r="41" spans="1:20" ht="22.5" customHeight="1" x14ac:dyDescent="0.25">
      <c r="A41" s="1">
        <v>4</v>
      </c>
      <c r="B41" s="1">
        <v>3</v>
      </c>
      <c r="C41" s="1">
        <v>5</v>
      </c>
      <c r="D41" s="1">
        <v>2</v>
      </c>
      <c r="E41" s="1">
        <f>AVERAGE(Form_Responses[[#This Row],[AI Usage '[I regularly use AI tools for academic purposes']]:[AI Usage '[I feel dependent on AI tools']]])</f>
        <v>3.5</v>
      </c>
      <c r="F41" s="1">
        <v>4</v>
      </c>
      <c r="G41" s="1">
        <v>5</v>
      </c>
      <c r="H41" s="1">
        <v>5</v>
      </c>
      <c r="I41" s="1">
        <v>1</v>
      </c>
      <c r="J41" s="1">
        <f>AVERAGE(Form_Responses[[#This Row],[Problem Solving Skills '[I am able to solve problems without using AI']  ]:[Problem Solving Skills '[I feel less confident solving problems without AI'] ]])</f>
        <v>3.75</v>
      </c>
      <c r="K41" s="1">
        <v>5</v>
      </c>
      <c r="L41" s="1">
        <v>5</v>
      </c>
      <c r="M41" s="1">
        <v>5</v>
      </c>
      <c r="N41" s="1">
        <v>1</v>
      </c>
      <c r="O41" s="1">
        <f>AVERAGE(Form_Responses[[#This Row],[Critical Thinking '[I verify the accuracy of AI-generated responses'] ]:[Critical Thinking '[AI reduces my ability to think critically'] ]])</f>
        <v>4</v>
      </c>
      <c r="P41" s="1">
        <v>2</v>
      </c>
      <c r="Q41" s="1">
        <v>4</v>
      </c>
      <c r="R41" s="1">
        <v>4</v>
      </c>
      <c r="S41" s="1">
        <v>5</v>
      </c>
      <c r="T41" s="1">
        <f>AVERAGE(Form_Responses[[#This Row],[Personal Use '[I use AI tools for personal purposes beyond academics']]:[Personal Use '[I use AI to explore new ideas or topics out of curiosity']]])</f>
        <v>3.75</v>
      </c>
    </row>
    <row r="42" spans="1:20" ht="22.5" customHeight="1" x14ac:dyDescent="0.25">
      <c r="A42" s="1">
        <v>5</v>
      </c>
      <c r="B42" s="1">
        <v>4</v>
      </c>
      <c r="C42" s="1">
        <v>4</v>
      </c>
      <c r="D42" s="1">
        <v>4</v>
      </c>
      <c r="E42" s="1">
        <f>AVERAGE(Form_Responses[[#This Row],[AI Usage '[I regularly use AI tools for academic purposes']]:[AI Usage '[I feel dependent on AI tools']]])</f>
        <v>4.25</v>
      </c>
      <c r="F42" s="1">
        <v>4</v>
      </c>
      <c r="G42" s="1">
        <v>5</v>
      </c>
      <c r="H42" s="1">
        <v>4</v>
      </c>
      <c r="I42" s="1">
        <v>4</v>
      </c>
      <c r="J42" s="1">
        <f>AVERAGE(Form_Responses[[#This Row],[Problem Solving Skills '[I am able to solve problems without using AI']  ]:[Problem Solving Skills '[I feel less confident solving problems without AI'] ]])</f>
        <v>4.25</v>
      </c>
      <c r="K42" s="1">
        <v>5</v>
      </c>
      <c r="L42" s="1">
        <v>4</v>
      </c>
      <c r="M42" s="1">
        <v>5</v>
      </c>
      <c r="N42" s="1">
        <v>2</v>
      </c>
      <c r="O42" s="1">
        <f>AVERAGE(Form_Responses[[#This Row],[Critical Thinking '[I verify the accuracy of AI-generated responses'] ]:[Critical Thinking '[AI reduces my ability to think critically'] ]])</f>
        <v>4</v>
      </c>
      <c r="P42" s="1">
        <v>3</v>
      </c>
      <c r="Q42" s="1">
        <v>4</v>
      </c>
      <c r="R42" s="1">
        <v>4</v>
      </c>
      <c r="S42" s="1">
        <v>2</v>
      </c>
      <c r="T42" s="1">
        <f>AVERAGE(Form_Responses[[#This Row],[Personal Use '[I use AI tools for personal purposes beyond academics']]:[Personal Use '[I use AI to explore new ideas or topics out of curiosity']]])</f>
        <v>3.25</v>
      </c>
    </row>
    <row r="43" spans="1:20" ht="22.5" customHeight="1" x14ac:dyDescent="0.25">
      <c r="A43" s="1">
        <v>5</v>
      </c>
      <c r="B43" s="1">
        <v>5</v>
      </c>
      <c r="C43" s="1">
        <v>4</v>
      </c>
      <c r="D43" s="1">
        <v>5</v>
      </c>
      <c r="E43" s="1">
        <f>AVERAGE(Form_Responses[[#This Row],[AI Usage '[I regularly use AI tools for academic purposes']]:[AI Usage '[I feel dependent on AI tools']]])</f>
        <v>4.75</v>
      </c>
      <c r="F43" s="1">
        <v>4</v>
      </c>
      <c r="G43" s="1">
        <v>4</v>
      </c>
      <c r="H43" s="1">
        <v>5</v>
      </c>
      <c r="I43" s="1">
        <v>1</v>
      </c>
      <c r="J43" s="1">
        <f>AVERAGE(Form_Responses[[#This Row],[Problem Solving Skills '[I am able to solve problems without using AI']  ]:[Problem Solving Skills '[I feel less confident solving problems without AI'] ]])</f>
        <v>3.5</v>
      </c>
      <c r="K43" s="1">
        <v>5</v>
      </c>
      <c r="L43" s="1">
        <v>4</v>
      </c>
      <c r="M43" s="1">
        <v>5</v>
      </c>
      <c r="N43" s="1">
        <v>1</v>
      </c>
      <c r="O43" s="1">
        <f>AVERAGE(Form_Responses[[#This Row],[Critical Thinking '[I verify the accuracy of AI-generated responses'] ]:[Critical Thinking '[AI reduces my ability to think critically'] ]])</f>
        <v>3.75</v>
      </c>
      <c r="P43" s="1">
        <v>3</v>
      </c>
      <c r="Q43" s="1">
        <v>3</v>
      </c>
      <c r="R43" s="1">
        <v>2</v>
      </c>
      <c r="S43" s="1">
        <v>3</v>
      </c>
      <c r="T43" s="1">
        <f>AVERAGE(Form_Responses[[#This Row],[Personal Use '[I use AI tools for personal purposes beyond academics']]:[Personal Use '[I use AI to explore new ideas or topics out of curiosity']]])</f>
        <v>2.75</v>
      </c>
    </row>
    <row r="44" spans="1:20" ht="22.5" customHeight="1" x14ac:dyDescent="0.25">
      <c r="A44" s="1">
        <v>2</v>
      </c>
      <c r="B44" s="1">
        <v>1</v>
      </c>
      <c r="C44" s="1">
        <v>3</v>
      </c>
      <c r="D44" s="1">
        <v>3</v>
      </c>
      <c r="E44" s="1">
        <f>AVERAGE(Form_Responses[[#This Row],[AI Usage '[I regularly use AI tools for academic purposes']]:[AI Usage '[I feel dependent on AI tools']]])</f>
        <v>2.25</v>
      </c>
      <c r="F44" s="1">
        <v>2</v>
      </c>
      <c r="G44" s="1">
        <v>1</v>
      </c>
      <c r="H44" s="1">
        <v>3</v>
      </c>
      <c r="I44" s="1">
        <v>3</v>
      </c>
      <c r="J44" s="1">
        <f>AVERAGE(Form_Responses[[#This Row],[Problem Solving Skills '[I am able to solve problems without using AI']  ]:[Problem Solving Skills '[I feel less confident solving problems without AI'] ]])</f>
        <v>2.25</v>
      </c>
      <c r="K44" s="1">
        <v>1</v>
      </c>
      <c r="L44" s="1">
        <v>2</v>
      </c>
      <c r="M44" s="1">
        <v>1</v>
      </c>
      <c r="N44" s="1">
        <v>3</v>
      </c>
      <c r="O44" s="1">
        <f>AVERAGE(Form_Responses[[#This Row],[Critical Thinking '[I verify the accuracy of AI-generated responses'] ]:[Critical Thinking '[AI reduces my ability to think critically'] ]])</f>
        <v>1.75</v>
      </c>
      <c r="P44" s="1">
        <v>3</v>
      </c>
      <c r="Q44" s="1">
        <v>1</v>
      </c>
      <c r="R44" s="1">
        <v>3</v>
      </c>
      <c r="S44" s="1">
        <v>2</v>
      </c>
      <c r="T44" s="1">
        <f>AVERAGE(Form_Responses[[#This Row],[Personal Use '[I use AI tools for personal purposes beyond academics']]:[Personal Use '[I use AI to explore new ideas or topics out of curiosity']]])</f>
        <v>2.25</v>
      </c>
    </row>
    <row r="45" spans="1:20" ht="22.5" customHeight="1" x14ac:dyDescent="0.25">
      <c r="A45" s="1">
        <v>5</v>
      </c>
      <c r="B45" s="1">
        <v>5</v>
      </c>
      <c r="C45" s="1">
        <v>5</v>
      </c>
      <c r="D45" s="1">
        <v>5</v>
      </c>
      <c r="E45" s="1">
        <f>AVERAGE(Form_Responses[[#This Row],[AI Usage '[I regularly use AI tools for academic purposes']]:[AI Usage '[I feel dependent on AI tools']]])</f>
        <v>5</v>
      </c>
      <c r="F45" s="1">
        <v>4</v>
      </c>
      <c r="G45" s="1">
        <v>4</v>
      </c>
      <c r="H45" s="1">
        <v>4</v>
      </c>
      <c r="I45" s="1">
        <v>2</v>
      </c>
      <c r="J45" s="1">
        <f>AVERAGE(Form_Responses[[#This Row],[Problem Solving Skills '[I am able to solve problems without using AI']  ]:[Problem Solving Skills '[I feel less confident solving problems without AI'] ]])</f>
        <v>3.5</v>
      </c>
      <c r="K45" s="1">
        <v>4</v>
      </c>
      <c r="L45" s="1">
        <v>4</v>
      </c>
      <c r="M45" s="1">
        <v>4</v>
      </c>
      <c r="N45" s="1">
        <v>2</v>
      </c>
      <c r="O45" s="1">
        <f>AVERAGE(Form_Responses[[#This Row],[Critical Thinking '[I verify the accuracy of AI-generated responses'] ]:[Critical Thinking '[AI reduces my ability to think critically'] ]])</f>
        <v>3.5</v>
      </c>
      <c r="P45" s="1">
        <v>4</v>
      </c>
      <c r="Q45" s="1">
        <v>4</v>
      </c>
      <c r="R45" s="1">
        <v>4</v>
      </c>
      <c r="S45" s="1">
        <v>4</v>
      </c>
      <c r="T45" s="1">
        <f>AVERAGE(Form_Responses[[#This Row],[Personal Use '[I use AI tools for personal purposes beyond academics']]:[Personal Use '[I use AI to explore new ideas or topics out of curiosity']]])</f>
        <v>4</v>
      </c>
    </row>
    <row r="46" spans="1:20" ht="22.5" customHeight="1" x14ac:dyDescent="0.25">
      <c r="A46" s="1">
        <v>3</v>
      </c>
      <c r="B46" s="1">
        <v>2</v>
      </c>
      <c r="C46" s="1">
        <v>3</v>
      </c>
      <c r="D46" s="1">
        <v>2</v>
      </c>
      <c r="E46" s="1">
        <f>AVERAGE(Form_Responses[[#This Row],[AI Usage '[I regularly use AI tools for academic purposes']]:[AI Usage '[I feel dependent on AI tools']]])</f>
        <v>2.5</v>
      </c>
      <c r="F46" s="1">
        <v>5</v>
      </c>
      <c r="G46" s="1">
        <v>2</v>
      </c>
      <c r="H46" s="1">
        <v>4</v>
      </c>
      <c r="I46" s="1">
        <v>4</v>
      </c>
      <c r="J46" s="1">
        <f>AVERAGE(Form_Responses[[#This Row],[Problem Solving Skills '[I am able to solve problems without using AI']  ]:[Problem Solving Skills '[I feel less confident solving problems without AI'] ]])</f>
        <v>3.75</v>
      </c>
      <c r="K46" s="1">
        <v>3</v>
      </c>
      <c r="L46" s="1">
        <v>4</v>
      </c>
      <c r="M46" s="1">
        <v>5</v>
      </c>
      <c r="N46" s="1">
        <v>2</v>
      </c>
      <c r="O46" s="1">
        <f>AVERAGE(Form_Responses[[#This Row],[Critical Thinking '[I verify the accuracy of AI-generated responses'] ]:[Critical Thinking '[AI reduces my ability to think critically'] ]])</f>
        <v>3.5</v>
      </c>
      <c r="P46" s="1">
        <v>4</v>
      </c>
      <c r="Q46" s="1">
        <v>4</v>
      </c>
      <c r="R46" s="1">
        <v>3</v>
      </c>
      <c r="S46" s="1">
        <v>5</v>
      </c>
      <c r="T46" s="1">
        <f>AVERAGE(Form_Responses[[#This Row],[Personal Use '[I use AI tools for personal purposes beyond academics']]:[Personal Use '[I use AI to explore new ideas or topics out of curiosity']]])</f>
        <v>4</v>
      </c>
    </row>
    <row r="47" spans="1:20" ht="22.5" customHeight="1" x14ac:dyDescent="0.25">
      <c r="A47" s="1">
        <v>4</v>
      </c>
      <c r="B47" s="1">
        <v>5</v>
      </c>
      <c r="C47" s="1">
        <v>5</v>
      </c>
      <c r="D47" s="1">
        <v>4</v>
      </c>
      <c r="E47" s="1">
        <f>AVERAGE(Form_Responses[[#This Row],[AI Usage '[I regularly use AI tools for academic purposes']]:[AI Usage '[I feel dependent on AI tools']]])</f>
        <v>4.5</v>
      </c>
      <c r="F47" s="1">
        <v>4</v>
      </c>
      <c r="G47" s="1">
        <v>3</v>
      </c>
      <c r="H47" s="1">
        <v>5</v>
      </c>
      <c r="I47" s="1">
        <v>3</v>
      </c>
      <c r="J47" s="1">
        <f>AVERAGE(Form_Responses[[#This Row],[Problem Solving Skills '[I am able to solve problems without using AI']  ]:[Problem Solving Skills '[I feel less confident solving problems without AI'] ]])</f>
        <v>3.75</v>
      </c>
      <c r="K47" s="1">
        <v>4</v>
      </c>
      <c r="L47" s="1">
        <v>4</v>
      </c>
      <c r="M47" s="1">
        <v>3</v>
      </c>
      <c r="N47" s="1">
        <v>2</v>
      </c>
      <c r="O47" s="1">
        <f>AVERAGE(Form_Responses[[#This Row],[Critical Thinking '[I verify the accuracy of AI-generated responses'] ]:[Critical Thinking '[AI reduces my ability to think critically'] ]])</f>
        <v>3.25</v>
      </c>
      <c r="P47" s="1">
        <v>5</v>
      </c>
      <c r="Q47" s="1">
        <v>3</v>
      </c>
      <c r="R47" s="1">
        <v>4</v>
      </c>
      <c r="S47" s="1">
        <v>4</v>
      </c>
      <c r="T47" s="1">
        <f>AVERAGE(Form_Responses[[#This Row],[Personal Use '[I use AI tools for personal purposes beyond academics']]:[Personal Use '[I use AI to explore new ideas or topics out of curiosity']]])</f>
        <v>4</v>
      </c>
    </row>
    <row r="48" spans="1:20" ht="22.5" customHeight="1" x14ac:dyDescent="0.25">
      <c r="A48" s="1">
        <v>4</v>
      </c>
      <c r="B48" s="1">
        <v>5</v>
      </c>
      <c r="C48" s="1">
        <v>4</v>
      </c>
      <c r="D48" s="1">
        <v>3</v>
      </c>
      <c r="E48" s="1">
        <f>AVERAGE(Form_Responses[[#This Row],[AI Usage '[I regularly use AI tools for academic purposes']]:[AI Usage '[I feel dependent on AI tools']]])</f>
        <v>4</v>
      </c>
      <c r="F48" s="1">
        <v>5</v>
      </c>
      <c r="G48" s="1">
        <v>4</v>
      </c>
      <c r="H48" s="1">
        <v>5</v>
      </c>
      <c r="I48" s="1">
        <v>4</v>
      </c>
      <c r="J48" s="1">
        <f>AVERAGE(Form_Responses[[#This Row],[Problem Solving Skills '[I am able to solve problems without using AI']  ]:[Problem Solving Skills '[I feel less confident solving problems without AI'] ]])</f>
        <v>4.5</v>
      </c>
      <c r="K48" s="1">
        <v>5</v>
      </c>
      <c r="L48" s="1">
        <v>4</v>
      </c>
      <c r="M48" s="1">
        <v>4</v>
      </c>
      <c r="N48" s="1">
        <v>2</v>
      </c>
      <c r="O48" s="1">
        <f>AVERAGE(Form_Responses[[#This Row],[Critical Thinking '[I verify the accuracy of AI-generated responses'] ]:[Critical Thinking '[AI reduces my ability to think critically'] ]])</f>
        <v>3.75</v>
      </c>
      <c r="P48" s="1">
        <v>3</v>
      </c>
      <c r="Q48" s="1">
        <v>5</v>
      </c>
      <c r="R48" s="1">
        <v>3</v>
      </c>
      <c r="S48" s="1">
        <v>5</v>
      </c>
      <c r="T48" s="1">
        <f>AVERAGE(Form_Responses[[#This Row],[Personal Use '[I use AI tools for personal purposes beyond academics']]:[Personal Use '[I use AI to explore new ideas or topics out of curiosity']]])</f>
        <v>4</v>
      </c>
    </row>
    <row r="49" spans="1:20" ht="22.5" customHeight="1" x14ac:dyDescent="0.25">
      <c r="A49" s="1">
        <v>4</v>
      </c>
      <c r="B49" s="1">
        <v>3</v>
      </c>
      <c r="C49" s="1">
        <v>3</v>
      </c>
      <c r="D49" s="1">
        <v>4</v>
      </c>
      <c r="E49" s="1">
        <f>AVERAGE(Form_Responses[[#This Row],[AI Usage '[I regularly use AI tools for academic purposes']]:[AI Usage '[I feel dependent on AI tools']]])</f>
        <v>3.5</v>
      </c>
      <c r="F49" s="1">
        <v>2</v>
      </c>
      <c r="G49" s="1">
        <v>4</v>
      </c>
      <c r="H49" s="1">
        <v>4</v>
      </c>
      <c r="I49" s="1">
        <v>4</v>
      </c>
      <c r="J49" s="1">
        <f>AVERAGE(Form_Responses[[#This Row],[Problem Solving Skills '[I am able to solve problems without using AI']  ]:[Problem Solving Skills '[I feel less confident solving problems without AI'] ]])</f>
        <v>3.5</v>
      </c>
      <c r="K49" s="1">
        <v>5</v>
      </c>
      <c r="L49" s="1">
        <v>4</v>
      </c>
      <c r="M49" s="1">
        <v>4</v>
      </c>
      <c r="N49" s="1">
        <v>2</v>
      </c>
      <c r="O49" s="1">
        <f>AVERAGE(Form_Responses[[#This Row],[Critical Thinking '[I verify the accuracy of AI-generated responses'] ]:[Critical Thinking '[AI reduces my ability to think critically'] ]])</f>
        <v>3.75</v>
      </c>
      <c r="P49" s="1">
        <v>4</v>
      </c>
      <c r="Q49" s="1">
        <v>5</v>
      </c>
      <c r="R49" s="1">
        <v>3</v>
      </c>
      <c r="S49" s="1">
        <v>4</v>
      </c>
      <c r="T49" s="1">
        <f>AVERAGE(Form_Responses[[#This Row],[Personal Use '[I use AI tools for personal purposes beyond academics']]:[Personal Use '[I use AI to explore new ideas or topics out of curiosity']]])</f>
        <v>4</v>
      </c>
    </row>
    <row r="50" spans="1:20" ht="22.5" customHeight="1" x14ac:dyDescent="0.25">
      <c r="A50" s="1">
        <v>4</v>
      </c>
      <c r="B50" s="1">
        <v>4</v>
      </c>
      <c r="C50" s="1">
        <v>4</v>
      </c>
      <c r="D50" s="1">
        <v>4</v>
      </c>
      <c r="E50" s="1">
        <f>AVERAGE(Form_Responses[[#This Row],[AI Usage '[I regularly use AI tools for academic purposes']]:[AI Usage '[I feel dependent on AI tools']]])</f>
        <v>4</v>
      </c>
      <c r="F50" s="1">
        <v>4</v>
      </c>
      <c r="G50" s="1">
        <v>4</v>
      </c>
      <c r="H50" s="1">
        <v>4</v>
      </c>
      <c r="I50" s="1">
        <v>4</v>
      </c>
      <c r="J50" s="1">
        <f>AVERAGE(Form_Responses[[#This Row],[Problem Solving Skills '[I am able to solve problems without using AI']  ]:[Problem Solving Skills '[I feel less confident solving problems without AI'] ]])</f>
        <v>4</v>
      </c>
      <c r="K50" s="1">
        <v>2</v>
      </c>
      <c r="L50" s="1">
        <v>3</v>
      </c>
      <c r="M50" s="1">
        <v>4</v>
      </c>
      <c r="N50" s="1">
        <v>2</v>
      </c>
      <c r="O50" s="1">
        <f>AVERAGE(Form_Responses[[#This Row],[Critical Thinking '[I verify the accuracy of AI-generated responses'] ]:[Critical Thinking '[AI reduces my ability to think critically'] ]])</f>
        <v>2.75</v>
      </c>
      <c r="P50" s="1">
        <v>4</v>
      </c>
      <c r="Q50" s="1">
        <v>4</v>
      </c>
      <c r="R50" s="1">
        <v>4</v>
      </c>
      <c r="S50" s="1">
        <v>4</v>
      </c>
      <c r="T50" s="1">
        <f>AVERAGE(Form_Responses[[#This Row],[Personal Use '[I use AI tools for personal purposes beyond academics']]:[Personal Use '[I use AI to explore new ideas or topics out of curiosity']]])</f>
        <v>4</v>
      </c>
    </row>
    <row r="51" spans="1:20" ht="22.5" customHeight="1" x14ac:dyDescent="0.25">
      <c r="A51" s="1">
        <v>4</v>
      </c>
      <c r="B51" s="1">
        <v>3</v>
      </c>
      <c r="C51" s="1">
        <v>4</v>
      </c>
      <c r="D51" s="1">
        <v>3</v>
      </c>
      <c r="E51" s="1">
        <f>AVERAGE(Form_Responses[[#This Row],[AI Usage '[I regularly use AI tools for academic purposes']]:[AI Usage '[I feel dependent on AI tools']]])</f>
        <v>3.5</v>
      </c>
      <c r="F51" s="1">
        <v>4</v>
      </c>
      <c r="G51" s="1">
        <v>3</v>
      </c>
      <c r="H51" s="1">
        <v>3</v>
      </c>
      <c r="I51" s="1">
        <v>3</v>
      </c>
      <c r="J51" s="1">
        <f>AVERAGE(Form_Responses[[#This Row],[Problem Solving Skills '[I am able to solve problems without using AI']  ]:[Problem Solving Skills '[I feel less confident solving problems without AI'] ]])</f>
        <v>3.25</v>
      </c>
      <c r="K51" s="1">
        <v>4</v>
      </c>
      <c r="L51" s="1">
        <v>4</v>
      </c>
      <c r="M51" s="1">
        <v>3</v>
      </c>
      <c r="N51" s="1">
        <v>3</v>
      </c>
      <c r="O51" s="1">
        <f>AVERAGE(Form_Responses[[#This Row],[Critical Thinking '[I verify the accuracy of AI-generated responses'] ]:[Critical Thinking '[AI reduces my ability to think critically'] ]])</f>
        <v>3.5</v>
      </c>
      <c r="P51" s="1">
        <v>2</v>
      </c>
      <c r="Q51" s="1">
        <v>4</v>
      </c>
      <c r="R51" s="1">
        <v>2</v>
      </c>
      <c r="S51" s="1">
        <v>3</v>
      </c>
      <c r="T51" s="1">
        <f>AVERAGE(Form_Responses[[#This Row],[Personal Use '[I use AI tools for personal purposes beyond academics']]:[Personal Use '[I use AI to explore new ideas or topics out of curiosity']]])</f>
        <v>2.75</v>
      </c>
    </row>
    <row r="52" spans="1:20" ht="22.5" customHeight="1" x14ac:dyDescent="0.25">
      <c r="A52" s="1">
        <v>5</v>
      </c>
      <c r="B52" s="1">
        <v>5</v>
      </c>
      <c r="C52" s="1">
        <v>5</v>
      </c>
      <c r="D52" s="1">
        <v>5</v>
      </c>
      <c r="E52" s="1">
        <f>AVERAGE(Form_Responses[[#This Row],[AI Usage '[I regularly use AI tools for academic purposes']]:[AI Usage '[I feel dependent on AI tools']]])</f>
        <v>5</v>
      </c>
      <c r="F52" s="1">
        <v>4</v>
      </c>
      <c r="G52" s="1">
        <v>3</v>
      </c>
      <c r="H52" s="1">
        <v>2</v>
      </c>
      <c r="I52" s="1">
        <v>2</v>
      </c>
      <c r="J52" s="1">
        <f>AVERAGE(Form_Responses[[#This Row],[Problem Solving Skills '[I am able to solve problems without using AI']  ]:[Problem Solving Skills '[I feel less confident solving problems without AI'] ]])</f>
        <v>2.75</v>
      </c>
      <c r="K52" s="1">
        <v>3</v>
      </c>
      <c r="L52" s="1">
        <v>4</v>
      </c>
      <c r="M52" s="1">
        <v>3</v>
      </c>
      <c r="N52" s="1">
        <v>2</v>
      </c>
      <c r="O52" s="1">
        <f>AVERAGE(Form_Responses[[#This Row],[Critical Thinking '[I verify the accuracy of AI-generated responses'] ]:[Critical Thinking '[AI reduces my ability to think critically'] ]])</f>
        <v>3</v>
      </c>
      <c r="P52" s="1">
        <v>5</v>
      </c>
      <c r="Q52" s="1">
        <v>5</v>
      </c>
      <c r="R52" s="1">
        <v>3</v>
      </c>
      <c r="S52" s="1">
        <v>3</v>
      </c>
      <c r="T52" s="1">
        <f>AVERAGE(Form_Responses[[#This Row],[Personal Use '[I use AI tools for personal purposes beyond academics']]:[Personal Use '[I use AI to explore new ideas or topics out of curiosity']]])</f>
        <v>4</v>
      </c>
    </row>
    <row r="55" spans="1:20" ht="15.75" customHeight="1" x14ac:dyDescent="0.25">
      <c r="A55" s="5"/>
      <c r="B55" s="5" t="s">
        <v>69</v>
      </c>
      <c r="C55" s="5" t="s">
        <v>70</v>
      </c>
      <c r="D55" s="5" t="s">
        <v>71</v>
      </c>
      <c r="E55" s="5" t="s">
        <v>72</v>
      </c>
      <c r="F55" s="5" t="s">
        <v>73</v>
      </c>
    </row>
    <row r="56" spans="1:20" ht="15.75" customHeight="1" x14ac:dyDescent="0.25">
      <c r="A56" s="5" t="s">
        <v>74</v>
      </c>
      <c r="B56" s="5">
        <f>AVERAGE(Form_Responses[Average of Ai Usage])</f>
        <v>3.965686274509804</v>
      </c>
      <c r="C56" s="5">
        <f>MEDIAN(Form_Responses[Average of Ai Usage])</f>
        <v>4</v>
      </c>
      <c r="D56" s="5">
        <f>MODE(Form_Responses[Average of Ai Usage])</f>
        <v>4</v>
      </c>
      <c r="E56" s="5">
        <f>STDEV(Form_Responses[Average of Ai Usage])</f>
        <v>0.78265510897702772</v>
      </c>
      <c r="F56" s="5">
        <f>_xlfn.VAR.S(Form_Responses[Average of Ai Usage])</f>
        <v>0.61254901960784314</v>
      </c>
    </row>
    <row r="57" spans="1:20" ht="15.75" customHeight="1" x14ac:dyDescent="0.25">
      <c r="A57" s="5" t="s">
        <v>75</v>
      </c>
      <c r="B57" s="5">
        <f>AVERAGE(Form_Responses[Average of Problem solving skills])</f>
        <v>3.5441176470588234</v>
      </c>
      <c r="C57" s="5">
        <f>MEDIAN(Form_Responses[Average of Problem solving skills])</f>
        <v>3.5</v>
      </c>
      <c r="D57" s="5">
        <f>MODE(Form_Responses[Average of Problem solving skills])</f>
        <v>3.5</v>
      </c>
      <c r="E57" s="5">
        <f>STDEV(Form_Responses[Average of Problem solving skills])</f>
        <v>0.55835894000396702</v>
      </c>
      <c r="F57" s="5">
        <f>_xlfn.VAR.S(Form_Responses[Average of Problem solving skills])</f>
        <v>0.31176470588235361</v>
      </c>
    </row>
    <row r="58" spans="1:20" ht="15.75" customHeight="1" x14ac:dyDescent="0.25">
      <c r="A58" s="5" t="s">
        <v>76</v>
      </c>
      <c r="B58" s="5">
        <f>AVERAGE(Form_Responses[Average of Critical Thinking])</f>
        <v>3.2892156862745097</v>
      </c>
      <c r="C58" s="5">
        <f>MEDIAN(Form_Responses[Average of Critical Thinking])</f>
        <v>3.25</v>
      </c>
      <c r="D58" s="5">
        <f>MODE(Form_Responses[Average of Critical Thinking])</f>
        <v>3</v>
      </c>
      <c r="E58" s="5">
        <f>STDEV(Form_Responses[Average of Critical Thinking])</f>
        <v>0.69168733727676313</v>
      </c>
      <c r="F58" s="5">
        <f>_xlfn.VAR.S(Form_Responses[Average of Critical Thinking])</f>
        <v>0.47843137254901874</v>
      </c>
    </row>
    <row r="59" spans="1:20" ht="15.75" customHeight="1" x14ac:dyDescent="0.25">
      <c r="A59" s="5" t="s">
        <v>77</v>
      </c>
      <c r="B59" s="5">
        <f>AVERAGE(Form_Responses[Average of Personal Use])</f>
        <v>3.5931372549019609</v>
      </c>
      <c r="C59" s="5">
        <f>MEDIAN(Form_Responses[Average of Personal Use])</f>
        <v>4</v>
      </c>
      <c r="D59" s="5">
        <f>MODE(Form_Responses[Average of Personal Use])</f>
        <v>4</v>
      </c>
      <c r="E59" s="5">
        <f>STDEV(Form_Responses[Average of Personal Use])</f>
        <v>1.0049387845955164</v>
      </c>
      <c r="F59" s="5">
        <f>_xlfn.VAR.S(Form_Responses[Average of Personal Use])</f>
        <v>1.0099019607843138</v>
      </c>
    </row>
    <row r="61" spans="1:20" ht="15.75" customHeight="1" x14ac:dyDescent="0.25">
      <c r="B61" s="7" t="s">
        <v>78</v>
      </c>
      <c r="C61" s="7" t="s">
        <v>79</v>
      </c>
      <c r="D61" s="7" t="s">
        <v>80</v>
      </c>
      <c r="E61" s="7" t="s">
        <v>81</v>
      </c>
      <c r="F61" s="7" t="s">
        <v>82</v>
      </c>
    </row>
    <row r="62" spans="1:20" ht="15.75" customHeight="1" x14ac:dyDescent="0.25">
      <c r="A62" s="2" t="s">
        <v>83</v>
      </c>
      <c r="B62" s="2">
        <f>COUNTIF(Form_Responses[[#All],[AI Usage '[I regularly use AI tools for academic purposes']]], "5")</f>
        <v>22</v>
      </c>
      <c r="C62" s="6">
        <f>COUNTIF(Form_Responses[AI Usage '[I regularly use AI tools for academic purposes']],"=4")</f>
        <v>22</v>
      </c>
      <c r="D62" s="2">
        <f>COUNTIF(Form_Responses[AI Usage '[I regularly use AI tools for academic purposes']],"=3")</f>
        <v>4</v>
      </c>
      <c r="E62" s="2">
        <f>COUNTIF(Form_Responses[AI Usage '[I regularly use AI tools for academic purposes']],"=2")</f>
        <v>2</v>
      </c>
      <c r="F62" s="2">
        <f>COUNTIF(Form_Responses[AI Usage '[I regularly use AI tools for academic purposes']],"=1")</f>
        <v>1</v>
      </c>
    </row>
    <row r="63" spans="1:20" ht="15.75" customHeight="1" x14ac:dyDescent="0.25">
      <c r="A63" s="2" t="s">
        <v>84</v>
      </c>
      <c r="B63" s="2">
        <f>COUNTIF(Form_Responses[[#All],[Problem Solving Skills '[I am able to solve problems without using AI']  ]], "=5")</f>
        <v>5</v>
      </c>
      <c r="C63" s="2">
        <f>COUNTIF(Form_Responses[[#All],[Problem Solving Skills '[I am able to solve problems without using AI']  ]], "=4")</f>
        <v>22</v>
      </c>
      <c r="D63" s="2">
        <f>COUNTIF(Form_Responses[[#All],[Problem Solving Skills '[I am able to solve problems without using AI']  ]], "=3")</f>
        <v>16</v>
      </c>
      <c r="E63" s="2">
        <f>COUNTIF(Form_Responses[[#All],[Problem Solving Skills '[I am able to solve problems without using AI']  ]], "=2")</f>
        <v>8</v>
      </c>
      <c r="F63" s="2">
        <f>COUNTIF(Form_Responses[[#All],[Problem Solving Skills '[I am able to solve problems without using AI']  ]], "=1")</f>
        <v>0</v>
      </c>
    </row>
    <row r="64" spans="1:20" ht="15.75" customHeight="1" x14ac:dyDescent="0.25">
      <c r="A64" s="2" t="s">
        <v>76</v>
      </c>
      <c r="B64" s="2">
        <f>COUNTIF(Form_Responses[Critical Thinking '[I think independently before using AI tools']],"=5")</f>
        <v>7</v>
      </c>
      <c r="C64" s="2">
        <f>COUNTIF(Form_Responses[Critical Thinking '[I think independently before using AI tools']],"=4")</f>
        <v>21</v>
      </c>
      <c r="D64" s="2">
        <f>COUNTIF(Form_Responses[Critical Thinking '[I think independently before using AI tools']],"=3")</f>
        <v>15</v>
      </c>
      <c r="E64" s="2">
        <f>COUNTIF(Form_Responses[Critical Thinking '[I think independently before using AI tools']],"=2")</f>
        <v>6</v>
      </c>
      <c r="F64" s="2">
        <f>COUNTIF(Form_Responses[Critical Thinking '[I think independently before using AI tools']],"=1")</f>
        <v>2</v>
      </c>
    </row>
    <row r="65" spans="1:6" ht="15.75" customHeight="1" x14ac:dyDescent="0.25">
      <c r="A65" s="2" t="s">
        <v>77</v>
      </c>
      <c r="B65" s="2">
        <f>COUNTIF(Form_Responses[Personal Use '[I use AI tools for personal purposes beyond academics']],"=5")</f>
        <v>12</v>
      </c>
      <c r="C65" s="2">
        <f>COUNTIF(Form_Responses[Personal Use '[I use AI tools for personal purposes beyond academics']],"=4")</f>
        <v>16</v>
      </c>
      <c r="D65" s="2">
        <f>COUNTIF(Form_Responses[Personal Use '[I use AI tools for personal purposes beyond academics']],"=3")</f>
        <v>10</v>
      </c>
      <c r="E65" s="2">
        <f>COUNTIF(Form_Responses[Personal Use '[I use AI tools for personal purposes beyond academics']],"=2")</f>
        <v>11</v>
      </c>
      <c r="F65" s="2">
        <f>COUNTIF(Form_Responses[Personal Use '[I use AI tools for personal purposes beyond academics']],"=1")</f>
        <v>2</v>
      </c>
    </row>
    <row r="103" spans="1:3" ht="15.75" customHeight="1" x14ac:dyDescent="0.25">
      <c r="A103" s="6"/>
    </row>
    <row r="104" spans="1:3" ht="15.75" customHeight="1" x14ac:dyDescent="0.25">
      <c r="C104" s="6"/>
    </row>
  </sheetData>
  <pageMargins left="0" right="0" top="0" bottom="0" header="0" footer="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D3E72E-7738-46BF-A4E5-47F2BCA56586}">
  <dimension ref="A1:I18"/>
  <sheetViews>
    <sheetView topLeftCell="A6" workbookViewId="0">
      <selection activeCell="H22" sqref="H22"/>
    </sheetView>
  </sheetViews>
  <sheetFormatPr defaultRowHeight="13.2" x14ac:dyDescent="0.25"/>
  <sheetData>
    <row r="1" spans="1:9" x14ac:dyDescent="0.25">
      <c r="A1" t="s">
        <v>88</v>
      </c>
    </row>
    <row r="2" spans="1:9" ht="13.8" thickBot="1" x14ac:dyDescent="0.3"/>
    <row r="3" spans="1:9" x14ac:dyDescent="0.25">
      <c r="A3" s="10" t="s">
        <v>89</v>
      </c>
      <c r="B3" s="10"/>
    </row>
    <row r="4" spans="1:9" x14ac:dyDescent="0.25">
      <c r="A4" t="s">
        <v>90</v>
      </c>
      <c r="B4">
        <v>0.16220259460813982</v>
      </c>
    </row>
    <row r="5" spans="1:9" x14ac:dyDescent="0.25">
      <c r="A5" t="s">
        <v>91</v>
      </c>
      <c r="B5">
        <v>2.6309681697612552E-2</v>
      </c>
    </row>
    <row r="6" spans="1:9" x14ac:dyDescent="0.25">
      <c r="A6" t="s">
        <v>92</v>
      </c>
      <c r="B6">
        <v>6.0244667329794792E-3</v>
      </c>
    </row>
    <row r="7" spans="1:9" x14ac:dyDescent="0.25">
      <c r="A7" t="s">
        <v>93</v>
      </c>
      <c r="B7">
        <v>0.55308321405252092</v>
      </c>
    </row>
    <row r="8" spans="1:9" ht="13.8" thickBot="1" x14ac:dyDescent="0.3">
      <c r="A8" s="8" t="s">
        <v>94</v>
      </c>
      <c r="B8" s="8">
        <v>50</v>
      </c>
    </row>
    <row r="10" spans="1:9" ht="13.8" thickBot="1" x14ac:dyDescent="0.3">
      <c r="A10" t="s">
        <v>95</v>
      </c>
    </row>
    <row r="11" spans="1:9" x14ac:dyDescent="0.25">
      <c r="A11" s="9"/>
      <c r="B11" s="9" t="s">
        <v>100</v>
      </c>
      <c r="C11" s="9" t="s">
        <v>101</v>
      </c>
      <c r="D11" s="9" t="s">
        <v>102</v>
      </c>
      <c r="E11" s="9" t="s">
        <v>103</v>
      </c>
      <c r="F11" s="9" t="s">
        <v>104</v>
      </c>
    </row>
    <row r="12" spans="1:9" x14ac:dyDescent="0.25">
      <c r="A12" t="s">
        <v>96</v>
      </c>
      <c r="B12">
        <v>1</v>
      </c>
      <c r="C12">
        <v>0.39674999999999727</v>
      </c>
      <c r="D12">
        <v>0.39674999999999727</v>
      </c>
      <c r="E12">
        <v>1.2969880646314587</v>
      </c>
      <c r="F12">
        <v>0.26041611328575809</v>
      </c>
    </row>
    <row r="13" spans="1:9" x14ac:dyDescent="0.25">
      <c r="A13" t="s">
        <v>97</v>
      </c>
      <c r="B13">
        <v>48</v>
      </c>
      <c r="C13">
        <v>14.683250000000003</v>
      </c>
      <c r="D13">
        <v>0.30590104166666671</v>
      </c>
    </row>
    <row r="14" spans="1:9" ht="13.8" thickBot="1" x14ac:dyDescent="0.3">
      <c r="A14" s="8" t="s">
        <v>98</v>
      </c>
      <c r="B14" s="8">
        <v>49</v>
      </c>
      <c r="C14" s="8">
        <v>15.08</v>
      </c>
      <c r="D14" s="8"/>
      <c r="E14" s="8"/>
      <c r="F14" s="8"/>
    </row>
    <row r="15" spans="1:9" ht="13.8" thickBot="1" x14ac:dyDescent="0.3"/>
    <row r="16" spans="1:9" x14ac:dyDescent="0.25">
      <c r="A16" s="9"/>
      <c r="B16" s="9" t="s">
        <v>105</v>
      </c>
      <c r="C16" s="9" t="s">
        <v>93</v>
      </c>
      <c r="D16" s="9" t="s">
        <v>106</v>
      </c>
      <c r="E16" s="9" t="s">
        <v>107</v>
      </c>
      <c r="F16" s="9" t="s">
        <v>108</v>
      </c>
      <c r="G16" s="9" t="s">
        <v>109</v>
      </c>
      <c r="H16" s="9" t="s">
        <v>110</v>
      </c>
      <c r="I16" s="9" t="s">
        <v>111</v>
      </c>
    </row>
    <row r="17" spans="1:9" x14ac:dyDescent="0.25">
      <c r="A17" t="s">
        <v>99</v>
      </c>
      <c r="B17">
        <v>3.0757499999999993</v>
      </c>
      <c r="C17">
        <v>0.40646285716344649</v>
      </c>
      <c r="D17">
        <v>7.5671120885793055</v>
      </c>
      <c r="E17">
        <v>9.9908664062727694E-10</v>
      </c>
      <c r="F17">
        <v>2.2585016517039205</v>
      </c>
      <c r="G17">
        <v>3.8929983482960782</v>
      </c>
      <c r="H17">
        <v>2.2585016517039205</v>
      </c>
      <c r="I17">
        <v>3.8929983482960782</v>
      </c>
    </row>
    <row r="18" spans="1:9" ht="13.8" thickBot="1" x14ac:dyDescent="0.3">
      <c r="A18" s="8">
        <v>4.75</v>
      </c>
      <c r="B18" s="8">
        <v>0.11500000000000009</v>
      </c>
      <c r="C18" s="8">
        <v>0.10097871750467467</v>
      </c>
      <c r="D18" s="8">
        <v>1.1388538381335287</v>
      </c>
      <c r="E18" s="8">
        <v>0.26041611328575609</v>
      </c>
      <c r="F18" s="8">
        <v>-8.8031319195217214E-2</v>
      </c>
      <c r="G18" s="8">
        <v>0.31803131919521738</v>
      </c>
      <c r="H18" s="8">
        <v>-8.8031319195217214E-2</v>
      </c>
      <c r="I18" s="8">
        <v>0.31803131919521738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07E722-0959-4A14-A65D-23178566E192}">
  <dimension ref="A1:I18"/>
  <sheetViews>
    <sheetView workbookViewId="0">
      <selection sqref="A1:I21"/>
    </sheetView>
  </sheetViews>
  <sheetFormatPr defaultRowHeight="13.2" x14ac:dyDescent="0.25"/>
  <sheetData>
    <row r="1" spans="1:9" x14ac:dyDescent="0.25">
      <c r="A1" t="s">
        <v>88</v>
      </c>
    </row>
    <row r="2" spans="1:9" ht="13.8" thickBot="1" x14ac:dyDescent="0.3"/>
    <row r="3" spans="1:9" x14ac:dyDescent="0.25">
      <c r="A3" s="10" t="s">
        <v>89</v>
      </c>
      <c r="B3" s="10"/>
    </row>
    <row r="4" spans="1:9" x14ac:dyDescent="0.25">
      <c r="A4" t="s">
        <v>90</v>
      </c>
      <c r="B4">
        <v>0.11525658599811893</v>
      </c>
    </row>
    <row r="5" spans="1:9" x14ac:dyDescent="0.25">
      <c r="A5" t="s">
        <v>91</v>
      </c>
      <c r="B5">
        <v>1.3284080615941784E-2</v>
      </c>
    </row>
    <row r="6" spans="1:9" x14ac:dyDescent="0.25">
      <c r="A6" t="s">
        <v>92</v>
      </c>
      <c r="B6">
        <v>-7.2725010378927616E-3</v>
      </c>
    </row>
    <row r="7" spans="1:9" x14ac:dyDescent="0.25">
      <c r="A7" t="s">
        <v>93</v>
      </c>
      <c r="B7">
        <v>0.70122281277759524</v>
      </c>
    </row>
    <row r="8" spans="1:9" ht="13.8" thickBot="1" x14ac:dyDescent="0.3">
      <c r="A8" s="8" t="s">
        <v>94</v>
      </c>
      <c r="B8" s="8">
        <v>50</v>
      </c>
    </row>
    <row r="10" spans="1:9" ht="13.8" thickBot="1" x14ac:dyDescent="0.3">
      <c r="A10" t="s">
        <v>95</v>
      </c>
    </row>
    <row r="11" spans="1:9" x14ac:dyDescent="0.25">
      <c r="A11" s="9"/>
      <c r="B11" s="9" t="s">
        <v>100</v>
      </c>
      <c r="C11" s="9" t="s">
        <v>101</v>
      </c>
      <c r="D11" s="9" t="s">
        <v>102</v>
      </c>
      <c r="E11" s="9" t="s">
        <v>103</v>
      </c>
      <c r="F11" s="9" t="s">
        <v>104</v>
      </c>
    </row>
    <row r="12" spans="1:9" x14ac:dyDescent="0.25">
      <c r="A12" t="s">
        <v>96</v>
      </c>
      <c r="B12">
        <v>1</v>
      </c>
      <c r="C12">
        <v>0.31775520833332749</v>
      </c>
      <c r="D12">
        <v>0.31775520833332749</v>
      </c>
      <c r="E12">
        <v>0.64622031228931598</v>
      </c>
      <c r="F12">
        <v>0.42543061405048532</v>
      </c>
    </row>
    <row r="13" spans="1:9" x14ac:dyDescent="0.25">
      <c r="A13" t="s">
        <v>97</v>
      </c>
      <c r="B13">
        <v>48</v>
      </c>
      <c r="C13">
        <v>23.602244791666674</v>
      </c>
      <c r="D13">
        <v>0.49171343315972238</v>
      </c>
    </row>
    <row r="14" spans="1:9" ht="13.8" thickBot="1" x14ac:dyDescent="0.3">
      <c r="A14" s="8" t="s">
        <v>98</v>
      </c>
      <c r="B14" s="8">
        <v>49</v>
      </c>
      <c r="C14" s="8">
        <v>23.92</v>
      </c>
      <c r="D14" s="8"/>
      <c r="E14" s="8"/>
      <c r="F14" s="8"/>
    </row>
    <row r="15" spans="1:9" ht="13.8" thickBot="1" x14ac:dyDescent="0.3"/>
    <row r="16" spans="1:9" x14ac:dyDescent="0.25">
      <c r="A16" s="9"/>
      <c r="B16" s="9" t="s">
        <v>105</v>
      </c>
      <c r="C16" s="9" t="s">
        <v>93</v>
      </c>
      <c r="D16" s="9" t="s">
        <v>106</v>
      </c>
      <c r="E16" s="9" t="s">
        <v>107</v>
      </c>
      <c r="F16" s="9" t="s">
        <v>108</v>
      </c>
      <c r="G16" s="9" t="s">
        <v>109</v>
      </c>
      <c r="H16" s="9" t="s">
        <v>110</v>
      </c>
      <c r="I16" s="9" t="s">
        <v>111</v>
      </c>
    </row>
    <row r="17" spans="1:9" x14ac:dyDescent="0.25">
      <c r="A17" t="s">
        <v>99</v>
      </c>
      <c r="B17">
        <v>3.6965208333333339</v>
      </c>
      <c r="C17">
        <v>0.51533118479835871</v>
      </c>
      <c r="D17">
        <v>7.1730974999693187</v>
      </c>
      <c r="E17">
        <v>3.9931614962564932E-9</v>
      </c>
      <c r="F17">
        <v>2.6603780414900777</v>
      </c>
      <c r="G17">
        <v>4.7326636251765901</v>
      </c>
      <c r="H17">
        <v>2.6603780414900777</v>
      </c>
      <c r="I17">
        <v>4.7326636251765901</v>
      </c>
    </row>
    <row r="18" spans="1:9" ht="13.8" thickBot="1" x14ac:dyDescent="0.3">
      <c r="A18" s="8">
        <v>4.75</v>
      </c>
      <c r="B18" s="8">
        <v>-0.10291666666666681</v>
      </c>
      <c r="C18" s="8">
        <v>0.12802518413183692</v>
      </c>
      <c r="D18" s="8">
        <v>-0.80387829445092596</v>
      </c>
      <c r="E18" s="8">
        <v>0.42543061405048055</v>
      </c>
      <c r="F18" s="8">
        <v>-0.36032855173338035</v>
      </c>
      <c r="G18" s="8">
        <v>0.15449521840004671</v>
      </c>
      <c r="H18" s="8">
        <v>-0.36032855173338035</v>
      </c>
      <c r="I18" s="8">
        <v>0.15449521840004671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6E0533-9D51-48B4-9434-DAEDF22C3E47}">
  <dimension ref="A1:I18"/>
  <sheetViews>
    <sheetView topLeftCell="A2" workbookViewId="0">
      <selection activeCell="L16" sqref="L16"/>
    </sheetView>
  </sheetViews>
  <sheetFormatPr defaultRowHeight="13.2" x14ac:dyDescent="0.25"/>
  <sheetData>
    <row r="1" spans="1:9" x14ac:dyDescent="0.25">
      <c r="A1" t="s">
        <v>88</v>
      </c>
    </row>
    <row r="2" spans="1:9" ht="13.8" thickBot="1" x14ac:dyDescent="0.3"/>
    <row r="3" spans="1:9" x14ac:dyDescent="0.25">
      <c r="A3" s="10" t="s">
        <v>89</v>
      </c>
      <c r="B3" s="10"/>
    </row>
    <row r="4" spans="1:9" x14ac:dyDescent="0.25">
      <c r="A4" t="s">
        <v>90</v>
      </c>
      <c r="B4">
        <v>0.57207474608828934</v>
      </c>
    </row>
    <row r="5" spans="1:9" x14ac:dyDescent="0.25">
      <c r="A5" t="s">
        <v>91</v>
      </c>
      <c r="B5">
        <v>0.32726951511198071</v>
      </c>
    </row>
    <row r="6" spans="1:9" x14ac:dyDescent="0.25">
      <c r="A6" t="s">
        <v>92</v>
      </c>
      <c r="B6">
        <v>0.31325429667681365</v>
      </c>
    </row>
    <row r="7" spans="1:9" x14ac:dyDescent="0.25">
      <c r="A7" t="s">
        <v>93</v>
      </c>
      <c r="B7">
        <v>0.81940012091756631</v>
      </c>
    </row>
    <row r="8" spans="1:9" ht="13.8" thickBot="1" x14ac:dyDescent="0.3">
      <c r="A8" s="8" t="s">
        <v>94</v>
      </c>
      <c r="B8" s="8">
        <v>50</v>
      </c>
    </row>
    <row r="10" spans="1:9" ht="13.8" thickBot="1" x14ac:dyDescent="0.3">
      <c r="A10" t="s">
        <v>95</v>
      </c>
    </row>
    <row r="11" spans="1:9" x14ac:dyDescent="0.25">
      <c r="A11" s="9"/>
      <c r="B11" s="9" t="s">
        <v>100</v>
      </c>
      <c r="C11" s="9" t="s">
        <v>101</v>
      </c>
      <c r="D11" s="9" t="s">
        <v>102</v>
      </c>
      <c r="E11" s="9" t="s">
        <v>103</v>
      </c>
      <c r="F11" s="9" t="s">
        <v>104</v>
      </c>
    </row>
    <row r="12" spans="1:9" x14ac:dyDescent="0.25">
      <c r="A12" t="s">
        <v>96</v>
      </c>
      <c r="B12">
        <v>1</v>
      </c>
      <c r="C12">
        <v>15.678255208333326</v>
      </c>
      <c r="D12">
        <v>15.678255208333326</v>
      </c>
      <c r="E12">
        <v>23.351010662152373</v>
      </c>
      <c r="F12">
        <v>1.4237249096781678E-5</v>
      </c>
    </row>
    <row r="13" spans="1:9" x14ac:dyDescent="0.25">
      <c r="A13" t="s">
        <v>97</v>
      </c>
      <c r="B13">
        <v>48</v>
      </c>
      <c r="C13">
        <v>32.227994791666674</v>
      </c>
      <c r="D13">
        <v>0.67141655815972234</v>
      </c>
    </row>
    <row r="14" spans="1:9" ht="13.8" thickBot="1" x14ac:dyDescent="0.3">
      <c r="A14" s="8" t="s">
        <v>98</v>
      </c>
      <c r="B14" s="8">
        <v>49</v>
      </c>
      <c r="C14" s="8">
        <v>47.90625</v>
      </c>
      <c r="D14" s="8"/>
      <c r="E14" s="8"/>
      <c r="F14" s="8"/>
    </row>
    <row r="15" spans="1:9" ht="13.8" thickBot="1" x14ac:dyDescent="0.3"/>
    <row r="16" spans="1:9" x14ac:dyDescent="0.25">
      <c r="A16" s="9"/>
      <c r="B16" s="9" t="s">
        <v>105</v>
      </c>
      <c r="C16" s="9" t="s">
        <v>93</v>
      </c>
      <c r="D16" s="9" t="s">
        <v>106</v>
      </c>
      <c r="E16" s="9" t="s">
        <v>107</v>
      </c>
      <c r="F16" s="9" t="s">
        <v>108</v>
      </c>
      <c r="G16" s="9" t="s">
        <v>109</v>
      </c>
      <c r="H16" s="9" t="s">
        <v>110</v>
      </c>
      <c r="I16" s="9" t="s">
        <v>111</v>
      </c>
    </row>
    <row r="17" spans="1:9" x14ac:dyDescent="0.25">
      <c r="A17" t="s">
        <v>99</v>
      </c>
      <c r="B17">
        <v>0.76947916666666627</v>
      </c>
      <c r="C17">
        <v>0.60218011656488368</v>
      </c>
      <c r="D17">
        <v>1.2778222752623158</v>
      </c>
      <c r="E17">
        <v>0.20745753917719625</v>
      </c>
      <c r="F17">
        <v>-0.44128510604890003</v>
      </c>
      <c r="G17">
        <v>1.9802434393822326</v>
      </c>
      <c r="H17">
        <v>-0.44128510604890003</v>
      </c>
      <c r="I17">
        <v>1.9802434393822326</v>
      </c>
    </row>
    <row r="18" spans="1:9" ht="13.8" thickBot="1" x14ac:dyDescent="0.3">
      <c r="A18" s="8">
        <v>4.75</v>
      </c>
      <c r="B18" s="8">
        <v>0.72291666666666676</v>
      </c>
      <c r="C18" s="8">
        <v>0.14960130994967061</v>
      </c>
      <c r="D18" s="8">
        <v>4.8322883463378288</v>
      </c>
      <c r="E18" s="8">
        <v>1.4237249096781548E-5</v>
      </c>
      <c r="F18" s="8">
        <v>0.42212307309574326</v>
      </c>
      <c r="G18" s="8">
        <v>1.0237102602375903</v>
      </c>
      <c r="H18" s="8">
        <v>0.42212307309574326</v>
      </c>
      <c r="I18" s="8">
        <v>1.0237102602375903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DF2EA7-20D7-41A1-A92B-3435A1A871FF}">
  <dimension ref="A1:K35"/>
  <sheetViews>
    <sheetView topLeftCell="A5" zoomScale="95" zoomScaleNormal="95" workbookViewId="0">
      <selection activeCell="J11" sqref="J11"/>
    </sheetView>
  </sheetViews>
  <sheetFormatPr defaultRowHeight="13.2" x14ac:dyDescent="0.25"/>
  <cols>
    <col min="1" max="1" width="24.44140625" bestFit="1" customWidth="1"/>
    <col min="2" max="2" width="14" bestFit="1" customWidth="1"/>
    <col min="3" max="3" width="12.6640625" bestFit="1" customWidth="1"/>
    <col min="4" max="4" width="7.33203125" bestFit="1" customWidth="1"/>
    <col min="5" max="5" width="18" bestFit="1" customWidth="1"/>
    <col min="6" max="6" width="16.5546875" bestFit="1" customWidth="1"/>
  </cols>
  <sheetData>
    <row r="1" spans="1:6" x14ac:dyDescent="0.25">
      <c r="A1" s="5"/>
      <c r="B1" s="11" t="s">
        <v>69</v>
      </c>
      <c r="C1" s="11" t="s">
        <v>113</v>
      </c>
      <c r="D1" s="11" t="s">
        <v>114</v>
      </c>
      <c r="E1" s="11" t="s">
        <v>115</v>
      </c>
      <c r="F1" s="11" t="s">
        <v>116</v>
      </c>
    </row>
    <row r="2" spans="1:6" x14ac:dyDescent="0.25">
      <c r="A2" s="5" t="s">
        <v>74</v>
      </c>
      <c r="B2" s="5">
        <f>AVERAGE(Form_Responses[Average of Ai Usage])</f>
        <v>3.965686274509804</v>
      </c>
      <c r="C2" s="5">
        <f>MEDIAN(Form_Responses[Average of Ai Usage])</f>
        <v>4</v>
      </c>
      <c r="D2" s="5">
        <f>MODE(Form_Responses[Average of Ai Usage])</f>
        <v>4</v>
      </c>
      <c r="E2" s="5">
        <f>STDEV(Form_Responses[Average of Ai Usage])</f>
        <v>0.78265510897702772</v>
      </c>
      <c r="F2" s="5">
        <f>_xlfn.VAR.S(Form_Responses[Average of Ai Usage])</f>
        <v>0.61254901960784314</v>
      </c>
    </row>
    <row r="3" spans="1:6" x14ac:dyDescent="0.25">
      <c r="A3" s="5" t="s">
        <v>75</v>
      </c>
      <c r="B3" s="5">
        <f>AVERAGE(Form_Responses[Average of Problem solving skills])</f>
        <v>3.5441176470588234</v>
      </c>
      <c r="C3" s="5">
        <f>MEDIAN(Form_Responses[Average of Problem solving skills])</f>
        <v>3.5</v>
      </c>
      <c r="D3" s="5">
        <f>MODE(Form_Responses[Average of Problem solving skills])</f>
        <v>3.5</v>
      </c>
      <c r="E3" s="5">
        <f>STDEV(Form_Responses[Average of Problem solving skills])</f>
        <v>0.55835894000396702</v>
      </c>
      <c r="F3" s="5">
        <f>_xlfn.VAR.S(Form_Responses[Average of Problem solving skills])</f>
        <v>0.31176470588235361</v>
      </c>
    </row>
    <row r="4" spans="1:6" x14ac:dyDescent="0.25">
      <c r="A4" s="5" t="s">
        <v>76</v>
      </c>
      <c r="B4" s="5">
        <f>AVERAGE(Form_Responses[Average of Critical Thinking])</f>
        <v>3.2892156862745097</v>
      </c>
      <c r="C4" s="5">
        <f>MEDIAN(Form_Responses[Average of Critical Thinking])</f>
        <v>3.25</v>
      </c>
      <c r="D4" s="5">
        <f>MODE(Form_Responses[Average of Critical Thinking])</f>
        <v>3</v>
      </c>
      <c r="E4" s="5">
        <f>STDEV(Form_Responses[Average of Critical Thinking])</f>
        <v>0.69168733727676313</v>
      </c>
      <c r="F4" s="5">
        <f>_xlfn.VAR.S(Form_Responses[Average of Critical Thinking])</f>
        <v>0.47843137254901874</v>
      </c>
    </row>
    <row r="5" spans="1:6" x14ac:dyDescent="0.25">
      <c r="A5" s="5" t="s">
        <v>77</v>
      </c>
      <c r="B5" s="5">
        <f>AVERAGE(Form_Responses[Average of Personal Use])</f>
        <v>3.5931372549019609</v>
      </c>
      <c r="C5" s="5">
        <f>MEDIAN(Form_Responses[Average of Personal Use])</f>
        <v>4</v>
      </c>
      <c r="D5" s="5">
        <f>MODE(Form_Responses[Average of Personal Use])</f>
        <v>4</v>
      </c>
      <c r="E5" s="5">
        <f>STDEV(Form_Responses[Average of Personal Use])</f>
        <v>1.0049387845955164</v>
      </c>
      <c r="F5" s="5">
        <f>_xlfn.VAR.S(Form_Responses[Average of Personal Use])</f>
        <v>1.0099019607843138</v>
      </c>
    </row>
    <row r="6" spans="1:6" x14ac:dyDescent="0.25">
      <c r="A6" s="2"/>
      <c r="B6" s="2"/>
      <c r="C6" s="2"/>
      <c r="D6" s="2"/>
      <c r="E6" s="2"/>
      <c r="F6" s="2"/>
    </row>
    <row r="7" spans="1:6" x14ac:dyDescent="0.25">
      <c r="A7" s="12"/>
      <c r="B7" s="13" t="s">
        <v>78</v>
      </c>
      <c r="C7" s="14" t="s">
        <v>79</v>
      </c>
      <c r="D7" s="14" t="s">
        <v>80</v>
      </c>
      <c r="E7" s="14" t="s">
        <v>81</v>
      </c>
      <c r="F7" s="14" t="s">
        <v>82</v>
      </c>
    </row>
    <row r="8" spans="1:6" x14ac:dyDescent="0.25">
      <c r="A8" s="12" t="s">
        <v>83</v>
      </c>
      <c r="B8" s="12">
        <f>COUNTIF(Form_Responses[[#All],[AI Usage '[I regularly use AI tools for academic purposes']]], "5")</f>
        <v>22</v>
      </c>
      <c r="C8" s="15">
        <f>COUNTIF(Form_Responses[AI Usage '[I regularly use AI tools for academic purposes']],"=4")</f>
        <v>22</v>
      </c>
      <c r="D8" s="12">
        <f>COUNTIF(Form_Responses[AI Usage '[I regularly use AI tools for academic purposes']],"=3")</f>
        <v>4</v>
      </c>
      <c r="E8" s="12">
        <f>COUNTIF(Form_Responses[AI Usage '[I regularly use AI tools for academic purposes']],"=2")</f>
        <v>2</v>
      </c>
      <c r="F8" s="12">
        <f>COUNTIF(Form_Responses[AI Usage '[I regularly use AI tools for academic purposes']],"=1")</f>
        <v>1</v>
      </c>
    </row>
    <row r="9" spans="1:6" x14ac:dyDescent="0.25">
      <c r="A9" s="12" t="s">
        <v>84</v>
      </c>
      <c r="B9" s="12">
        <f>COUNTIF(Form_Responses[[#All],[Problem Solving Skills '[I am able to solve problems without using AI']  ]], "=5")</f>
        <v>5</v>
      </c>
      <c r="C9" s="12">
        <f>COUNTIF(Form_Responses[[#All],[Problem Solving Skills '[I am able to solve problems without using AI']  ]], "=4")</f>
        <v>22</v>
      </c>
      <c r="D9" s="12">
        <f>COUNTIF(Form_Responses[[#All],[Problem Solving Skills '[I am able to solve problems without using AI']  ]], "=3")</f>
        <v>16</v>
      </c>
      <c r="E9" s="12">
        <f>COUNTIF(Form_Responses[[#All],[Problem Solving Skills '[I am able to solve problems without using AI']  ]], "=2")</f>
        <v>8</v>
      </c>
      <c r="F9" s="12">
        <f>COUNTIF(Form_Responses[[#All],[Problem Solving Skills '[I am able to solve problems without using AI']  ]], "=1")</f>
        <v>0</v>
      </c>
    </row>
    <row r="10" spans="1:6" x14ac:dyDescent="0.25">
      <c r="A10" s="12" t="s">
        <v>76</v>
      </c>
      <c r="B10" s="12">
        <f>COUNTIF(Form_Responses[Critical Thinking '[I think independently before using AI tools']],"=5")</f>
        <v>7</v>
      </c>
      <c r="C10" s="12">
        <f>COUNTIF(Form_Responses[Critical Thinking '[I think independently before using AI tools']],"=4")</f>
        <v>21</v>
      </c>
      <c r="D10" s="12">
        <f>COUNTIF(Form_Responses[Critical Thinking '[I think independently before using AI tools']],"=3")</f>
        <v>15</v>
      </c>
      <c r="E10" s="12">
        <f>COUNTIF(Form_Responses[Critical Thinking '[I think independently before using AI tools']],"=2")</f>
        <v>6</v>
      </c>
      <c r="F10" s="12">
        <f>COUNTIF(Form_Responses[Critical Thinking '[I think independently before using AI tools']],"=1")</f>
        <v>2</v>
      </c>
    </row>
    <row r="11" spans="1:6" x14ac:dyDescent="0.25">
      <c r="A11" s="12" t="s">
        <v>77</v>
      </c>
      <c r="B11" s="12">
        <f>COUNTIF(Form_Responses[Personal Use '[I use AI tools for personal purposes beyond academics']],"=5")</f>
        <v>12</v>
      </c>
      <c r="C11" s="12">
        <f>COUNTIF(Form_Responses[Personal Use '[I use AI tools for personal purposes beyond academics']],"=4")</f>
        <v>16</v>
      </c>
      <c r="D11" s="12">
        <f>COUNTIF(Form_Responses[Personal Use '[I use AI tools for personal purposes beyond academics']],"=3")</f>
        <v>10</v>
      </c>
      <c r="E11" s="12">
        <f>COUNTIF(Form_Responses[Personal Use '[I use AI tools for personal purposes beyond academics']],"=2")</f>
        <v>11</v>
      </c>
      <c r="F11" s="12">
        <f>COUNTIF(Form_Responses[Personal Use '[I use AI tools for personal purposes beyond academics']],"=1")</f>
        <v>2</v>
      </c>
    </row>
    <row r="14" spans="1:6" x14ac:dyDescent="0.25">
      <c r="A14" s="16"/>
      <c r="B14" s="17" t="s">
        <v>112</v>
      </c>
      <c r="C14" s="18"/>
      <c r="D14" s="18"/>
    </row>
    <row r="15" spans="1:6" x14ac:dyDescent="0.25">
      <c r="A15" s="12" t="s">
        <v>85</v>
      </c>
      <c r="B15" s="12">
        <v>0.40422566867807302</v>
      </c>
      <c r="C15" s="19">
        <v>0.18373835817008821</v>
      </c>
      <c r="D15" s="20"/>
    </row>
    <row r="16" spans="1:6" x14ac:dyDescent="0.25">
      <c r="A16" s="12" t="s">
        <v>86</v>
      </c>
      <c r="B16" s="12">
        <v>0.51179358515196238</v>
      </c>
      <c r="C16" s="19">
        <v>-0.11522517434211781</v>
      </c>
      <c r="D16" s="20"/>
    </row>
    <row r="17" spans="1:11" x14ac:dyDescent="0.25">
      <c r="A17" s="12" t="s">
        <v>87</v>
      </c>
      <c r="B17" s="12">
        <v>0.72094532861008054</v>
      </c>
      <c r="C17" s="19">
        <v>0.51907079018474911</v>
      </c>
      <c r="D17" s="20"/>
    </row>
    <row r="19" spans="1:11" x14ac:dyDescent="0.25">
      <c r="C19" s="21" t="s">
        <v>117</v>
      </c>
      <c r="D19" s="22"/>
      <c r="E19" s="22"/>
      <c r="F19" s="22"/>
      <c r="G19" s="22"/>
      <c r="H19" s="22"/>
      <c r="I19" s="22"/>
      <c r="J19" s="22"/>
      <c r="K19" s="22"/>
    </row>
    <row r="20" spans="1:11" x14ac:dyDescent="0.25">
      <c r="C20" s="22"/>
      <c r="D20" s="22"/>
      <c r="E20" s="22"/>
      <c r="F20" s="22"/>
      <c r="G20" s="22"/>
      <c r="H20" s="22"/>
      <c r="I20" s="22"/>
      <c r="J20" s="22"/>
      <c r="K20" s="22"/>
    </row>
    <row r="21" spans="1:11" x14ac:dyDescent="0.25">
      <c r="C21" s="22"/>
      <c r="D21" s="22"/>
      <c r="E21" s="22"/>
      <c r="F21" s="22"/>
      <c r="G21" s="22"/>
      <c r="H21" s="22"/>
      <c r="I21" s="22"/>
      <c r="J21" s="22"/>
      <c r="K21" s="22"/>
    </row>
    <row r="33" spans="1:3" x14ac:dyDescent="0.25">
      <c r="A33" s="2" t="s">
        <v>37</v>
      </c>
      <c r="B33" s="2">
        <v>0.18373835817008821</v>
      </c>
      <c r="C33" s="2">
        <v>0.18373835817008821</v>
      </c>
    </row>
    <row r="34" spans="1:3" x14ac:dyDescent="0.25">
      <c r="A34" s="6">
        <v>-0.11522517434211781</v>
      </c>
      <c r="B34" s="6">
        <v>-0.11522517434211781</v>
      </c>
      <c r="C34" s="6">
        <v>-0.11522517434211781</v>
      </c>
    </row>
    <row r="35" spans="1:3" x14ac:dyDescent="0.25">
      <c r="A35" s="2">
        <v>0.51907079018474911</v>
      </c>
      <c r="B35" s="2">
        <v>0.51907079018474911</v>
      </c>
      <c r="C35" s="2">
        <v>0.51907079018474911</v>
      </c>
    </row>
  </sheetData>
  <mergeCells count="5">
    <mergeCell ref="B14:D14"/>
    <mergeCell ref="C15:D15"/>
    <mergeCell ref="C16:D16"/>
    <mergeCell ref="C17:D17"/>
    <mergeCell ref="C19:K21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77648B-EF9B-40C9-8765-39D497B16BD5}">
  <dimension ref="A2:T16"/>
  <sheetViews>
    <sheetView tabSelected="1" workbookViewId="0">
      <selection activeCell="P2" sqref="P2"/>
    </sheetView>
  </sheetViews>
  <sheetFormatPr defaultRowHeight="13.2" x14ac:dyDescent="0.25"/>
  <sheetData>
    <row r="2" spans="1:20" ht="24.6" x14ac:dyDescent="0.4">
      <c r="A2" s="24"/>
      <c r="B2" s="24"/>
      <c r="F2" s="25" t="s">
        <v>125</v>
      </c>
      <c r="G2" s="25"/>
      <c r="H2" s="25"/>
      <c r="I2" s="25"/>
      <c r="J2" s="25"/>
      <c r="K2" s="25"/>
      <c r="L2" s="25"/>
    </row>
    <row r="4" spans="1:20" ht="17.399999999999999" x14ac:dyDescent="0.3">
      <c r="A4" s="23" t="s">
        <v>118</v>
      </c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</row>
    <row r="5" spans="1:20" ht="17.399999999999999" x14ac:dyDescent="0.3">
      <c r="A5" s="23"/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</row>
    <row r="6" spans="1:20" ht="17.399999999999999" x14ac:dyDescent="0.3">
      <c r="A6" s="23" t="s">
        <v>119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</row>
    <row r="7" spans="1:20" ht="17.399999999999999" x14ac:dyDescent="0.3">
      <c r="A7" s="23"/>
      <c r="B7" s="23"/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</row>
    <row r="8" spans="1:20" ht="17.399999999999999" x14ac:dyDescent="0.3">
      <c r="A8" s="23" t="s">
        <v>120</v>
      </c>
      <c r="B8" s="23"/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</row>
    <row r="9" spans="1:20" ht="17.399999999999999" x14ac:dyDescent="0.3">
      <c r="A9" s="23"/>
      <c r="B9" s="23"/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</row>
    <row r="10" spans="1:20" ht="17.399999999999999" x14ac:dyDescent="0.3">
      <c r="A10" s="23" t="s">
        <v>121</v>
      </c>
      <c r="B10" s="23"/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</row>
    <row r="11" spans="1:20" ht="17.399999999999999" x14ac:dyDescent="0.3">
      <c r="A11" s="23"/>
      <c r="B11" s="23"/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</row>
    <row r="12" spans="1:20" ht="17.399999999999999" x14ac:dyDescent="0.3">
      <c r="A12" s="23" t="s">
        <v>122</v>
      </c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</row>
    <row r="13" spans="1:20" ht="17.399999999999999" x14ac:dyDescent="0.3">
      <c r="A13" s="23"/>
      <c r="B13" s="23"/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</row>
    <row r="14" spans="1:20" ht="17.399999999999999" x14ac:dyDescent="0.3">
      <c r="A14" s="23" t="s">
        <v>123</v>
      </c>
      <c r="B14" s="23"/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</row>
    <row r="15" spans="1:20" ht="17.399999999999999" x14ac:dyDescent="0.3">
      <c r="A15" s="23"/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</row>
    <row r="16" spans="1:20" ht="17.399999999999999" x14ac:dyDescent="0.3">
      <c r="A16" s="23" t="s">
        <v>124</v>
      </c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</row>
  </sheetData>
  <mergeCells count="1">
    <mergeCell ref="F2:L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rawdata</vt:lpstr>
      <vt:lpstr>rawresponses</vt:lpstr>
      <vt:lpstr>Problem Solving</vt:lpstr>
      <vt:lpstr>Critical Thinking</vt:lpstr>
      <vt:lpstr>Personal Use</vt:lpstr>
      <vt:lpstr>Statistical analysis</vt:lpstr>
      <vt:lpstr>Insights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KHUSHI</dc:creator>
  <cp:keywords/>
  <dc:description/>
  <cp:lastModifiedBy>khushi chawla</cp:lastModifiedBy>
  <cp:revision/>
  <dcterms:created xsi:type="dcterms:W3CDTF">2026-04-20T05:55:15Z</dcterms:created>
  <dcterms:modified xsi:type="dcterms:W3CDTF">2026-07-07T21:19:23Z</dcterms:modified>
  <cp:category/>
  <cp:contentStatus/>
</cp:coreProperties>
</file>